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C2C1D5-B2FF-49A1-90F1-0623ED428F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ntal_health_remote_workers" sheetId="1" r:id="rId1"/>
    <sheet name="xlookup and dropdown list" sheetId="2" r:id="rId2"/>
    <sheet name="Pivot analysis" sheetId="8" r:id="rId3"/>
  </sheets>
  <definedNames>
    <definedName name="_xlcn.WorksheetConnection_mental_health_remote_workers.xlsxEmployee1" hidden="1">Employee[]</definedName>
  </definedNames>
  <calcPr calcId="191029"/>
  <pivotCaches>
    <pivotCache cacheId="20" r:id="rId4"/>
    <pivotCache cacheId="21" r:id="rId5"/>
    <pivotCache cacheId="22" r:id="rId6"/>
    <pivotCache cacheId="35" r:id="rId7"/>
    <pivotCache cacheId="38" r:id="rId8"/>
  </pivotCaches>
  <extLst>
    <ext xmlns:x15="http://schemas.microsoft.com/office/spreadsheetml/2010/11/main" uri="{FCE2AD5D-F65C-4FA6-A056-5C36A1767C68}">
      <x15:dataModel>
        <x15:modelTables>
          <x15:modelTable id="Employee" name="Employee" connection="WorksheetConnection_mental_health_remote_workers.xlsx!Employe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B5" i="2"/>
  <c r="B3" i="2"/>
  <c r="B4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B1A71-D239-4790-BD1B-EC5E61F5DB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5466BA-B29C-48DC-BE0A-66D9E79D9B6A}" name="WorksheetConnection_mental_health_remote_workers.xlsx!Employee" type="102" refreshedVersion="8" minRefreshableVersion="5">
    <extLst>
      <ext xmlns:x15="http://schemas.microsoft.com/office/spreadsheetml/2010/11/main" uri="{DE250136-89BD-433C-8126-D09CA5730AF9}">
        <x15:connection id="Employee" autoDelete="1">
          <x15:rangePr sourceName="_xlcn.WorksheetConnection_mental_health_remote_workers.xlsxEmploye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<sst xmlns="http://schemas.openxmlformats.org/spreadsheetml/2006/main" count="976" uniqueCount="168">
  <si>
    <t>Employee_ID</t>
  </si>
  <si>
    <t>Name</t>
  </si>
  <si>
    <t>Age</t>
  </si>
  <si>
    <t>Gender</t>
  </si>
  <si>
    <t>Country</t>
  </si>
  <si>
    <t>Job_Role</t>
  </si>
  <si>
    <t>Experience_Years</t>
  </si>
  <si>
    <t>Work_Mode</t>
  </si>
  <si>
    <t>Hours_Worked_Per_Week</t>
  </si>
  <si>
    <t>Productivity_Score</t>
  </si>
  <si>
    <t>Mental_Health_Status</t>
  </si>
  <si>
    <t>Burnout_Score</t>
  </si>
  <si>
    <t>Sleep_Hours_Per_Day</t>
  </si>
  <si>
    <t>Exercise_Frequency</t>
  </si>
  <si>
    <t>Work_Life_Balance_Rating</t>
  </si>
  <si>
    <t>Has_Access_To_Therapist</t>
  </si>
  <si>
    <t>Willing_To_Return_Onsite</t>
  </si>
  <si>
    <t>Remote_Setup_Satisfaction</t>
  </si>
  <si>
    <t>Internet_Issues_Frequency</t>
  </si>
  <si>
    <t>Team_Communication_Effectiveness</t>
  </si>
  <si>
    <t>User_1</t>
  </si>
  <si>
    <t>Female</t>
  </si>
  <si>
    <t>Canada</t>
  </si>
  <si>
    <t>QA Engineer</t>
  </si>
  <si>
    <t>Onsite</t>
  </si>
  <si>
    <t>Poor</t>
  </si>
  <si>
    <t>Rarely</t>
  </si>
  <si>
    <t>Sometimes</t>
  </si>
  <si>
    <t>User_2</t>
  </si>
  <si>
    <t>Prefer not to say</t>
  </si>
  <si>
    <t>Australia</t>
  </si>
  <si>
    <t>DevOps Engineer</t>
  </si>
  <si>
    <t>Remote</t>
  </si>
  <si>
    <t>Good</t>
  </si>
  <si>
    <t>Daily</t>
  </si>
  <si>
    <t>Often</t>
  </si>
  <si>
    <t>User_3</t>
  </si>
  <si>
    <t>Male</t>
  </si>
  <si>
    <t>Germany</t>
  </si>
  <si>
    <t>UI/UX Designer</t>
  </si>
  <si>
    <t>Hybrid</t>
  </si>
  <si>
    <t>Never</t>
  </si>
  <si>
    <t>User_4</t>
  </si>
  <si>
    <t>Product Manager</t>
  </si>
  <si>
    <t>Moderate</t>
  </si>
  <si>
    <t>User_5</t>
  </si>
  <si>
    <t>UK</t>
  </si>
  <si>
    <t>User_6</t>
  </si>
  <si>
    <t>Brazil</t>
  </si>
  <si>
    <t>2-3x/Week</t>
  </si>
  <si>
    <t>User_7</t>
  </si>
  <si>
    <t>Non-binary</t>
  </si>
  <si>
    <t>India</t>
  </si>
  <si>
    <t>User_8</t>
  </si>
  <si>
    <t>User_9</t>
  </si>
  <si>
    <t>User_10</t>
  </si>
  <si>
    <t>User_11</t>
  </si>
  <si>
    <t>USA</t>
  </si>
  <si>
    <t>Data Scientist</t>
  </si>
  <si>
    <t>User_12</t>
  </si>
  <si>
    <t>User_13</t>
  </si>
  <si>
    <t>User_14</t>
  </si>
  <si>
    <t>User_15</t>
  </si>
  <si>
    <t>User_16</t>
  </si>
  <si>
    <t>Developer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</si>
  <si>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</si>
  <si>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</si>
  <si>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</si>
  <si>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</si>
  <si>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</si>
  <si>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</si>
  <si>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</si>
  <si>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</si>
  <si>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</si>
  <si>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</si>
  <si>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</si>
  <si>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</si>
  <si>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</si>
  <si>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</si>
  <si>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</si>
  <si>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</si>
  <si>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</si>
  <si>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</si>
  <si>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</si>
  <si>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</si>
  <si>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</si>
  <si>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</si>
  <si>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</si>
  <si>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</si>
  <si>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</si>
  <si>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</si>
  <si>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</si>
  <si>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</si>
  <si>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</si>
  <si>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</si>
  <si>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</si>
  <si>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</si>
  <si>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</si>
  <si>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</si>
  <si>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</si>
  <si>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</si>
  <si>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</si>
  <si>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</si>
  <si>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</si>
  <si>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</si>
  <si>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</si>
  <si>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</si>
  <si>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</si>
  <si>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</si>
  <si>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</si>
  <si>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</si>
  <si>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</si>
  <si>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</si>
  <si>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</si>
  <si>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</si>
  <si>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</si>
  <si>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</si>
  <si>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</si>
  <si>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</si>
  <si>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</si>
  <si>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</si>
  <si>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</si>
  <si>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</si>
  <si>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</si>
  <si>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</si>
  <si>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</si>
  <si>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</si>
  <si>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</si>
  <si>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</si>
  <si>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</si>
  <si>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</si>
  <si>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</si>
  <si>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</si>
  <si>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</si>
  <si>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</si>
  <si>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</si>
  <si>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</si>
  <si>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</si>
  <si>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</si>
  <si>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</si>
  <si>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</si>
  <si>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</si>
  <si>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</si>
  <si>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</si>
  <si>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</si>
  <si>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</si>
  <si>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</si>
  <si>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</si>
  <si>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</si>
  <si>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Yes</t>
  </si>
  <si>
    <t>No</t>
  </si>
  <si>
    <t>Burnout rate</t>
  </si>
  <si>
    <t>Burnout_Rate</t>
  </si>
  <si>
    <t>Xlookup</t>
  </si>
  <si>
    <t>Grand Total</t>
  </si>
  <si>
    <t>Count of Burnout_Rate</t>
  </si>
  <si>
    <t>High</t>
  </si>
  <si>
    <t>Low</t>
  </si>
  <si>
    <t>Medium</t>
  </si>
  <si>
    <t>Count of Exercise_Frequency</t>
  </si>
  <si>
    <t>2-3x/ Week</t>
  </si>
  <si>
    <t>Exercise frequency</t>
  </si>
  <si>
    <t>work mode</t>
  </si>
  <si>
    <t>Job role</t>
  </si>
  <si>
    <t>Burnout Rate</t>
  </si>
  <si>
    <t>Average Productivity_Score</t>
  </si>
  <si>
    <t>Average Burnout_Score</t>
  </si>
  <si>
    <t>Therapist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</si>
</sst>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66" formatCode="0.00000"/>
    </dxf>
    <dxf>
      <numFmt numFmtId="165" formatCode="0.000000"/>
    </dxf>
    <dxf>
      <numFmt numFmtId="164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bottom style="thin">
          <color indexed="64"/>
        </bottom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3.017712152781" backgroundQuery="1" createdVersion="8" refreshedVersion="8" minRefreshableVersion="3" recordCount="0" supportSubquery="1" supportAdvancedDrill="1" xr:uid="{0B38C4BF-7465-4949-BCC2-FD1DAAEC066C}">
  <cacheSource type="external" connectionId="1"/>
  <cacheFields count="2">
    <cacheField name="[Employee].[Work_Mode].[Work_Mode]" caption="Work_Mode" numFmtId="0" hierarchy="7" level="1">
      <sharedItems count="3">
        <s v="Hybrid"/>
        <s v="Onsite"/>
        <s v="Remote"/>
      </sharedItems>
    </cacheField>
    <cacheField name="[Measures].[Average of Productivity_Score]" caption="Average of Productivity_Score" numFmtId="0" hierarchy="24" level="32767"/>
  </cacheFields>
  <cacheHierarchies count="36">
    <cacheHierarchy uniqueName="[Employee].[Employee_ID]" caption="Employee_ID" attribute="1" defaultMemberUniqueName="[Employee].[Employee_ID].[All]" allUniqueName="[Employee].[Employee_ID].[All]" dimensionUniqueName="[Employee]" displayFolder="" count="0" memberValueDatatype="20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Job_Role]" caption="Job_Role" attribute="1" defaultMemberUniqueName="[Employee].[Job_Role].[All]" allUniqueName="[Employee].[Job_Role].[All]" dimensionUniqueName="[Employee]" displayFolder="" count="0" memberValueDatatype="130" unbalanced="0"/>
    <cacheHierarchy uniqueName="[Employee].[Experience_Years]" caption="Experience_Years" attribute="1" defaultMemberUniqueName="[Employee].[Experience_Years].[All]" allUniqueName="[Employee].[Experience_Years].[All]" dimensionUniqueName="[Employee]" displayFolder="" count="0" memberValueDatatype="5" unbalanced="0"/>
    <cacheHierarchy uniqueName="[Employee].[Work_Mode]" caption="Work_Mode" attribute="1" defaultMemberUniqueName="[Employee].[Work_Mode].[All]" allUniqueName="[Employee].[Work_Mod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Hours_Worked_Per_Week]" caption="Hours_Worked_Per_Week" attribute="1" defaultMemberUniqueName="[Employee].[Hours_Worked_Per_Week].[All]" allUniqueName="[Employee].[Hours_Worked_Per_Week].[All]" dimensionUniqueName="[Employee]" displayFolder="" count="0" memberValueDatatype="5" unbalanced="0"/>
    <cacheHierarchy uniqueName="[Employee].[Productivity_Score]" caption="Productivity_Score" attribute="1" defaultMemberUniqueName="[Employee].[Productivity_Score].[All]" allUniqueName="[Employee].[Productivity_Score].[All]" dimensionUniqueName="[Employee]" displayFolder="" count="0" memberValueDatatype="5" unbalanced="0"/>
    <cacheHierarchy uniqueName="[Employee].[Mental_Health_Status]" caption="Mental_Health_Status" attribute="1" defaultMemberUniqueName="[Employee].[Mental_Health_Status].[All]" allUniqueName="[Employee].[Mental_Health_Status].[All]" dimensionUniqueName="[Employee]" displayFolder="" count="0" memberValueDatatype="130" unbalanced="0"/>
    <cacheHierarchy uniqueName="[Employee].[Burnout_Score]" caption="Burnout_Score" attribute="1" defaultMemberUniqueName="[Employee].[Burnout_Score].[All]" allUniqueName="[Employee].[Burnout_Score].[All]" dimensionUniqueName="[Employee]" displayFolder="" count="0" memberValueDatatype="20" unbalanced="0"/>
    <cacheHierarchy uniqueName="[Employee].[Burnout_Rate]" caption="Burnout_Rate" attribute="1" defaultMemberUniqueName="[Employee].[Burnout_Rate].[All]" allUniqueName="[Employee].[Burnout_Rate].[All]" dimensionUniqueName="[Employee]" displayFolder="" count="0" memberValueDatatype="130" unbalanced="0"/>
    <cacheHierarchy uniqueName="[Employee].[Sleep_Hours_Per_Day]" caption="Sleep_Hours_Per_Day" attribute="1" defaultMemberUniqueName="[Employee].[Sleep_Hours_Per_Day].[All]" allUniqueName="[Employee].[Sleep_Hours_Per_Day].[All]" dimensionUniqueName="[Employee]" displayFolder="" count="0" memberValueDatatype="5" unbalanced="0"/>
    <cacheHierarchy uniqueName="[Employee].[Exercise_Frequency]" caption="Exercise_Frequency" attribute="1" defaultMemberUniqueName="[Employee].[Exercise_Frequency].[All]" allUniqueName="[Employee].[Exercise_Frequency].[All]" dimensionUniqueName="[Employee]" displayFolder="" count="0" memberValueDatatype="130" unbalanced="0"/>
    <cacheHierarchy uniqueName="[Employee].[Work_Life_Balance_Rating]" caption="Work_Life_Balance_Rating" attribute="1" defaultMemberUniqueName="[Employee].[Work_Life_Balance_Rating].[All]" allUniqueName="[Employee].[Work_Life_Balance_Rating].[All]" dimensionUniqueName="[Employee]" displayFolder="" count="0" memberValueDatatype="5" unbalanced="0"/>
    <cacheHierarchy uniqueName="[Employee].[Has_Access_To_Therapist]" caption="Has_Access_To_Therapist" attribute="1" defaultMemberUniqueName="[Employee].[Has_Access_To_Therapist].[All]" allUniqueName="[Employee].[Has_Access_To_Therapist].[All]" dimensionUniqueName="[Employee]" displayFolder="" count="0" memberValueDatatype="130" unbalanced="0"/>
    <cacheHierarchy uniqueName="[Employee].[Willing_To_Return_Onsite]" caption="Willing_To_Return_Onsite" attribute="1" defaultMemberUniqueName="[Employee].[Willing_To_Return_Onsite].[All]" allUniqueName="[Employee].[Willing_To_Return_Onsite].[All]" dimensionUniqueName="[Employee]" displayFolder="" count="0" memberValueDatatype="130" unbalanced="0"/>
    <cacheHierarchy uniqueName="[Employee].[Remote_Setup_Satisfaction]" caption="Remote_Setup_Satisfaction" attribute="1" defaultMemberUniqueName="[Employee].[Remote_Setup_Satisfaction].[All]" allUniqueName="[Employee].[Remote_Setup_Satisfaction].[All]" dimensionUniqueName="[Employee]" displayFolder="" count="0" memberValueDatatype="5" unbalanced="0"/>
    <cacheHierarchy uniqueName="[Employee].[Internet_Issues_Frequency]" caption="Internet_Issues_Frequency" attribute="1" defaultMemberUniqueName="[Employee].[Internet_Issues_Frequency].[All]" allUniqueName="[Employee].[Internet_Issues_Frequency].[All]" dimensionUniqueName="[Employee]" displayFolder="" count="0" memberValueDatatype="130" unbalanced="0"/>
    <cacheHierarchy uniqueName="[Employee].[Team_Communication_Effectiveness]" caption="Team_Communication_Effectiveness" attribute="1" defaultMemberUniqueName="[Employee].[Team_Communication_Effectiveness].[All]" allUniqueName="[Employee].[Team_Communication_Effectiveness].[All]" dimensionUniqueName="[Employee]" displayFolder="" count="0" memberValueDatatype="5" unbalanced="0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Productivity_Score]" caption="Sum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ivity_Score]" caption="Average of Productivity_Score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urnout_Rate]" caption="Count of Burnout_Rate" measure="1" displayFolder="" measureGroup="Employe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Exercise_Frequency]" caption="Count of Exercise_Frequency" measure="1" displayFolder="" measureGroup="Employe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leep_Hours_Per_Day]" caption="Sum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s_Worked_Per_Week]" caption="Sum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leep_Hours_Per_Day]" caption="Average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Hours_Worked_Per_Week]" caption="Average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ental_Health_Status]" caption="Count of Mental_Health_Status" measure="1" displayFolder="" measureGroup="Employe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mployee_ID]" caption="Sum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_ID]" caption="Count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rnout_Score]" caption="Sum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urnout_Score]" caption="Average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3.019161458331" backgroundQuery="1" createdVersion="8" refreshedVersion="8" minRefreshableVersion="3" recordCount="0" supportSubquery="1" supportAdvancedDrill="1" xr:uid="{4A5BD46C-0EF5-471C-AC09-8A85E584295B}">
  <cacheSource type="external" connectionId="1"/>
  <cacheFields count="3">
    <cacheField name="[Employee].[Job_Role].[Job_Role]" caption="Job_Role" numFmtId="0" hierarchy="5" level="1">
      <sharedItems count="6">
        <s v="Data Scientist"/>
        <s v="Developer"/>
        <s v="DevOps Engineer"/>
        <s v="Product Manager"/>
        <s v="QA Engineer"/>
        <s v="UI/UX Designer"/>
      </sharedItems>
    </cacheField>
    <cacheField name="[Measures].[Count of Burnout_Rate]" caption="Count of Burnout_Rate" numFmtId="0" hierarchy="25" level="32767"/>
    <cacheField name="[Employee].[Burnout_Rate].[Burnout_Rate]" caption="Burnout_Rate" numFmtId="0" hierarchy="12" level="1">
      <sharedItems count="3">
        <s v="High"/>
        <s v="Low"/>
        <s v="Medium"/>
      </sharedItems>
    </cacheField>
  </cacheFields>
  <cacheHierarchies count="36">
    <cacheHierarchy uniqueName="[Employee].[Employee_ID]" caption="Employee_ID" attribute="1" defaultMemberUniqueName="[Employee].[Employee_ID].[All]" allUniqueName="[Employee].[Employee_ID].[All]" dimensionUniqueName="[Employee]" displayFolder="" count="0" memberValueDatatype="20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Job_Role]" caption="Job_Role" attribute="1" defaultMemberUniqueName="[Employee].[Job_Role].[All]" allUniqueName="[Employee].[Job_Rol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Experience_Years]" caption="Experience_Years" attribute="1" defaultMemberUniqueName="[Employee].[Experience_Years].[All]" allUniqueName="[Employee].[Experience_Years].[All]" dimensionUniqueName="[Employee]" displayFolder="" count="0" memberValueDatatype="5" unbalanced="0"/>
    <cacheHierarchy uniqueName="[Employee].[Work_Mode]" caption="Work_Mode" attribute="1" defaultMemberUniqueName="[Employee].[Work_Mode].[All]" allUniqueName="[Employee].[Work_Mode].[All]" dimensionUniqueName="[Employee]" displayFolder="" count="0" memberValueDatatype="130" unbalanced="0"/>
    <cacheHierarchy uniqueName="[Employee].[Hours_Worked_Per_Week]" caption="Hours_Worked_Per_Week" attribute="1" defaultMemberUniqueName="[Employee].[Hours_Worked_Per_Week].[All]" allUniqueName="[Employee].[Hours_Worked_Per_Week].[All]" dimensionUniqueName="[Employee]" displayFolder="" count="0" memberValueDatatype="5" unbalanced="0"/>
    <cacheHierarchy uniqueName="[Employee].[Productivity_Score]" caption="Productivity_Score" attribute="1" defaultMemberUniqueName="[Employee].[Productivity_Score].[All]" allUniqueName="[Employee].[Productivity_Score].[All]" dimensionUniqueName="[Employee]" displayFolder="" count="0" memberValueDatatype="5" unbalanced="0"/>
    <cacheHierarchy uniqueName="[Employee].[Mental_Health_Status]" caption="Mental_Health_Status" attribute="1" defaultMemberUniqueName="[Employee].[Mental_Health_Status].[All]" allUniqueName="[Employee].[Mental_Health_Status].[All]" dimensionUniqueName="[Employee]" displayFolder="" count="0" memberValueDatatype="130" unbalanced="0"/>
    <cacheHierarchy uniqueName="[Employee].[Burnout_Score]" caption="Burnout_Score" attribute="1" defaultMemberUniqueName="[Employee].[Burnout_Score].[All]" allUniqueName="[Employee].[Burnout_Score].[All]" dimensionUniqueName="[Employee]" displayFolder="" count="0" memberValueDatatype="20" unbalanced="0"/>
    <cacheHierarchy uniqueName="[Employee].[Burnout_Rate]" caption="Burnout_Rate" attribute="1" defaultMemberUniqueName="[Employee].[Burnout_Rate].[All]" allUniqueName="[Employee].[Burnout_Rate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Sleep_Hours_Per_Day]" caption="Sleep_Hours_Per_Day" attribute="1" defaultMemberUniqueName="[Employee].[Sleep_Hours_Per_Day].[All]" allUniqueName="[Employee].[Sleep_Hours_Per_Day].[All]" dimensionUniqueName="[Employee]" displayFolder="" count="0" memberValueDatatype="5" unbalanced="0"/>
    <cacheHierarchy uniqueName="[Employee].[Exercise_Frequency]" caption="Exercise_Frequency" attribute="1" defaultMemberUniqueName="[Employee].[Exercise_Frequency].[All]" allUniqueName="[Employee].[Exercise_Frequency].[All]" dimensionUniqueName="[Employee]" displayFolder="" count="0" memberValueDatatype="130" unbalanced="0"/>
    <cacheHierarchy uniqueName="[Employee].[Work_Life_Balance_Rating]" caption="Work_Life_Balance_Rating" attribute="1" defaultMemberUniqueName="[Employee].[Work_Life_Balance_Rating].[All]" allUniqueName="[Employee].[Work_Life_Balance_Rating].[All]" dimensionUniqueName="[Employee]" displayFolder="" count="0" memberValueDatatype="5" unbalanced="0"/>
    <cacheHierarchy uniqueName="[Employee].[Has_Access_To_Therapist]" caption="Has_Access_To_Therapist" attribute="1" defaultMemberUniqueName="[Employee].[Has_Access_To_Therapist].[All]" allUniqueName="[Employee].[Has_Access_To_Therapist].[All]" dimensionUniqueName="[Employee]" displayFolder="" count="0" memberValueDatatype="130" unbalanced="0"/>
    <cacheHierarchy uniqueName="[Employee].[Willing_To_Return_Onsite]" caption="Willing_To_Return_Onsite" attribute="1" defaultMemberUniqueName="[Employee].[Willing_To_Return_Onsite].[All]" allUniqueName="[Employee].[Willing_To_Return_Onsite].[All]" dimensionUniqueName="[Employee]" displayFolder="" count="0" memberValueDatatype="130" unbalanced="0"/>
    <cacheHierarchy uniqueName="[Employee].[Remote_Setup_Satisfaction]" caption="Remote_Setup_Satisfaction" attribute="1" defaultMemberUniqueName="[Employee].[Remote_Setup_Satisfaction].[All]" allUniqueName="[Employee].[Remote_Setup_Satisfaction].[All]" dimensionUniqueName="[Employee]" displayFolder="" count="0" memberValueDatatype="5" unbalanced="0"/>
    <cacheHierarchy uniqueName="[Employee].[Internet_Issues_Frequency]" caption="Internet_Issues_Frequency" attribute="1" defaultMemberUniqueName="[Employee].[Internet_Issues_Frequency].[All]" allUniqueName="[Employee].[Internet_Issues_Frequency].[All]" dimensionUniqueName="[Employee]" displayFolder="" count="0" memberValueDatatype="130" unbalanced="0"/>
    <cacheHierarchy uniqueName="[Employee].[Team_Communication_Effectiveness]" caption="Team_Communication_Effectiveness" attribute="1" defaultMemberUniqueName="[Employee].[Team_Communication_Effectiveness].[All]" allUniqueName="[Employee].[Team_Communication_Effectiveness].[All]" dimensionUniqueName="[Employee]" displayFolder="" count="0" memberValueDatatype="5" unbalanced="0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Productivity_Score]" caption="Sum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ivity_Score]" caption="Average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urnout_Rate]" caption="Count of Burnout_Rate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Exercise_Frequency]" caption="Count of Exercise_Frequency" measure="1" displayFolder="" measureGroup="Employe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leep_Hours_Per_Day]" caption="Sum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s_Worked_Per_Week]" caption="Sum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leep_Hours_Per_Day]" caption="Average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Hours_Worked_Per_Week]" caption="Average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ental_Health_Status]" caption="Count of Mental_Health_Status" measure="1" displayFolder="" measureGroup="Employe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mployee_ID]" caption="Sum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_ID]" caption="Count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rnout_Score]" caption="Sum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urnout_Score]" caption="Average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3.032962268517" backgroundQuery="1" createdVersion="8" refreshedVersion="8" minRefreshableVersion="3" recordCount="0" supportSubquery="1" supportAdvancedDrill="1" xr:uid="{9FD726A8-3893-4E09-AABC-6D34C72C7781}">
  <cacheSource type="external" connectionId="1"/>
  <cacheFields count="3">
    <cacheField name="[Employee].[Burnout_Rate].[Burnout_Rate]" caption="Burnout_Rate" numFmtId="0" hierarchy="12" level="1">
      <sharedItems count="3">
        <s v="High"/>
        <s v="Low"/>
        <s v="Medium"/>
      </sharedItems>
    </cacheField>
    <cacheField name="[Measures].[Count of Exercise_Frequency]" caption="Count of Exercise_Frequency" numFmtId="0" hierarchy="26" level="32767"/>
    <cacheField name="[Employee].[Exercise_Frequency].[Exercise_Frequency]" caption="Exercise_Frequency" numFmtId="0" hierarchy="14" level="1">
      <sharedItems count="4">
        <s v="2-3x/Week"/>
        <s v="Daily"/>
        <s v="Never"/>
        <s v="Rarely"/>
      </sharedItems>
    </cacheField>
  </cacheFields>
  <cacheHierarchies count="36">
    <cacheHierarchy uniqueName="[Employee].[Employee_ID]" caption="Employee_ID" attribute="1" defaultMemberUniqueName="[Employee].[Employee_ID].[All]" allUniqueName="[Employee].[Employee_ID].[All]" dimensionUniqueName="[Employee]" displayFolder="" count="0" memberValueDatatype="20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Job_Role]" caption="Job_Role" attribute="1" defaultMemberUniqueName="[Employee].[Job_Role].[All]" allUniqueName="[Employee].[Job_Role].[All]" dimensionUniqueName="[Employee]" displayFolder="" count="0" memberValueDatatype="130" unbalanced="0"/>
    <cacheHierarchy uniqueName="[Employee].[Experience_Years]" caption="Experience_Years" attribute="1" defaultMemberUniqueName="[Employee].[Experience_Years].[All]" allUniqueName="[Employee].[Experience_Years].[All]" dimensionUniqueName="[Employee]" displayFolder="" count="0" memberValueDatatype="5" unbalanced="0"/>
    <cacheHierarchy uniqueName="[Employee].[Work_Mode]" caption="Work_Mode" attribute="1" defaultMemberUniqueName="[Employee].[Work_Mode].[All]" allUniqueName="[Employee].[Work_Mode].[All]" dimensionUniqueName="[Employee]" displayFolder="" count="0" memberValueDatatype="130" unbalanced="0"/>
    <cacheHierarchy uniqueName="[Employee].[Hours_Worked_Per_Week]" caption="Hours_Worked_Per_Week" attribute="1" defaultMemberUniqueName="[Employee].[Hours_Worked_Per_Week].[All]" allUniqueName="[Employee].[Hours_Worked_Per_Week].[All]" dimensionUniqueName="[Employee]" displayFolder="" count="0" memberValueDatatype="5" unbalanced="0"/>
    <cacheHierarchy uniqueName="[Employee].[Productivity_Score]" caption="Productivity_Score" attribute="1" defaultMemberUniqueName="[Employee].[Productivity_Score].[All]" allUniqueName="[Employee].[Productivity_Score].[All]" dimensionUniqueName="[Employee]" displayFolder="" count="0" memberValueDatatype="5" unbalanced="0"/>
    <cacheHierarchy uniqueName="[Employee].[Mental_Health_Status]" caption="Mental_Health_Status" attribute="1" defaultMemberUniqueName="[Employee].[Mental_Health_Status].[All]" allUniqueName="[Employee].[Mental_Health_Status].[All]" dimensionUniqueName="[Employee]" displayFolder="" count="0" memberValueDatatype="130" unbalanced="0"/>
    <cacheHierarchy uniqueName="[Employee].[Burnout_Score]" caption="Burnout_Score" attribute="1" defaultMemberUniqueName="[Employee].[Burnout_Score].[All]" allUniqueName="[Employee].[Burnout_Score].[All]" dimensionUniqueName="[Employee]" displayFolder="" count="0" memberValueDatatype="20" unbalanced="0"/>
    <cacheHierarchy uniqueName="[Employee].[Burnout_Rate]" caption="Burnout_Rate" attribute="1" defaultMemberUniqueName="[Employee].[Burnout_Rate].[All]" allUniqueName="[Employee].[Burnout_Rat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Sleep_Hours_Per_Day]" caption="Sleep_Hours_Per_Day" attribute="1" defaultMemberUniqueName="[Employee].[Sleep_Hours_Per_Day].[All]" allUniqueName="[Employee].[Sleep_Hours_Per_Day].[All]" dimensionUniqueName="[Employee]" displayFolder="" count="0" memberValueDatatype="5" unbalanced="0"/>
    <cacheHierarchy uniqueName="[Employee].[Exercise_Frequency]" caption="Exercise_Frequency" attribute="1" defaultMemberUniqueName="[Employee].[Exercise_Frequency].[All]" allUniqueName="[Employee].[Exercise_Frequency].[All]" dimensionUniqueName="[Employee]" displayFolder="" count="2" memberValueDatatype="130" unbalanced="0">
      <fieldsUsage count="2">
        <fieldUsage x="-1"/>
        <fieldUsage x="2"/>
      </fieldsUsage>
    </cacheHierarchy>
    <cacheHierarchy uniqueName="[Employee].[Work_Life_Balance_Rating]" caption="Work_Life_Balance_Rating" attribute="1" defaultMemberUniqueName="[Employee].[Work_Life_Balance_Rating].[All]" allUniqueName="[Employee].[Work_Life_Balance_Rating].[All]" dimensionUniqueName="[Employee]" displayFolder="" count="0" memberValueDatatype="5" unbalanced="0"/>
    <cacheHierarchy uniqueName="[Employee].[Has_Access_To_Therapist]" caption="Has_Access_To_Therapist" attribute="1" defaultMemberUniqueName="[Employee].[Has_Access_To_Therapist].[All]" allUniqueName="[Employee].[Has_Access_To_Therapist].[All]" dimensionUniqueName="[Employee]" displayFolder="" count="0" memberValueDatatype="130" unbalanced="0"/>
    <cacheHierarchy uniqueName="[Employee].[Willing_To_Return_Onsite]" caption="Willing_To_Return_Onsite" attribute="1" defaultMemberUniqueName="[Employee].[Willing_To_Return_Onsite].[All]" allUniqueName="[Employee].[Willing_To_Return_Onsite].[All]" dimensionUniqueName="[Employee]" displayFolder="" count="0" memberValueDatatype="130" unbalanced="0"/>
    <cacheHierarchy uniqueName="[Employee].[Remote_Setup_Satisfaction]" caption="Remote_Setup_Satisfaction" attribute="1" defaultMemberUniqueName="[Employee].[Remote_Setup_Satisfaction].[All]" allUniqueName="[Employee].[Remote_Setup_Satisfaction].[All]" dimensionUniqueName="[Employee]" displayFolder="" count="0" memberValueDatatype="5" unbalanced="0"/>
    <cacheHierarchy uniqueName="[Employee].[Internet_Issues_Frequency]" caption="Internet_Issues_Frequency" attribute="1" defaultMemberUniqueName="[Employee].[Internet_Issues_Frequency].[All]" allUniqueName="[Employee].[Internet_Issues_Frequency].[All]" dimensionUniqueName="[Employee]" displayFolder="" count="0" memberValueDatatype="130" unbalanced="0"/>
    <cacheHierarchy uniqueName="[Employee].[Team_Communication_Effectiveness]" caption="Team_Communication_Effectiveness" attribute="1" defaultMemberUniqueName="[Employee].[Team_Communication_Effectiveness].[All]" allUniqueName="[Employee].[Team_Communication_Effectiveness].[All]" dimensionUniqueName="[Employee]" displayFolder="" count="0" memberValueDatatype="5" unbalanced="0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Productivity_Score]" caption="Sum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ivity_Score]" caption="Average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urnout_Rate]" caption="Count of Burnout_Rate" measure="1" displayFolder="" measureGroup="Employe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Exercise_Frequency]" caption="Count of Exercise_Frequency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leep_Hours_Per_Day]" caption="Sum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s_Worked_Per_Week]" caption="Sum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leep_Hours_Per_Day]" caption="Average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Hours_Worked_Per_Week]" caption="Average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ental_Health_Status]" caption="Count of Mental_Health_Status" measure="1" displayFolder="" measureGroup="Employe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mployee_ID]" caption="Sum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_ID]" caption="Count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rnout_Score]" caption="Sum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urnout_Score]" caption="Average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831864236112" backgroundQuery="1" createdVersion="8" refreshedVersion="8" minRefreshableVersion="3" recordCount="0" supportSubquery="1" supportAdvancedDrill="1" xr:uid="{4A7220C3-BE0E-47C3-A9AD-6BDEC5965236}">
  <cacheSource type="external" connectionId="1"/>
  <cacheFields count="2">
    <cacheField name="[Employee].[Has_Access_To_Therapist].[Has_Access_To_Therapist]" caption="Has_Access_To_Therapist" numFmtId="0" hierarchy="16" level="1">
      <sharedItems count="2">
        <s v="No"/>
        <s v="Yes"/>
      </sharedItems>
    </cacheField>
    <cacheField name="[Measures].[Average of Burnout_Score]" caption="Average of Burnout_Score" numFmtId="0" hierarchy="35" level="32767"/>
  </cacheFields>
  <cacheHierarchies count="36">
    <cacheHierarchy uniqueName="[Employee].[Employee_ID]" caption="Employee_ID" attribute="1" defaultMemberUniqueName="[Employee].[Employee_ID].[All]" allUniqueName="[Employee].[Employee_ID].[All]" dimensionUniqueName="[Employee]" displayFolder="" count="0" memberValueDatatype="20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Job_Role]" caption="Job_Role" attribute="1" defaultMemberUniqueName="[Employee].[Job_Role].[All]" allUniqueName="[Employee].[Job_Role].[All]" dimensionUniqueName="[Employee]" displayFolder="" count="0" memberValueDatatype="130" unbalanced="0"/>
    <cacheHierarchy uniqueName="[Employee].[Experience_Years]" caption="Experience_Years" attribute="1" defaultMemberUniqueName="[Employee].[Experience_Years].[All]" allUniqueName="[Employee].[Experience_Years].[All]" dimensionUniqueName="[Employee]" displayFolder="" count="0" memberValueDatatype="5" unbalanced="0"/>
    <cacheHierarchy uniqueName="[Employee].[Work_Mode]" caption="Work_Mode" attribute="1" defaultMemberUniqueName="[Employee].[Work_Mode].[All]" allUniqueName="[Employee].[Work_Mode].[All]" dimensionUniqueName="[Employee]" displayFolder="" count="0" memberValueDatatype="130" unbalanced="0"/>
    <cacheHierarchy uniqueName="[Employee].[Hours_Worked_Per_Week]" caption="Hours_Worked_Per_Week" attribute="1" defaultMemberUniqueName="[Employee].[Hours_Worked_Per_Week].[All]" allUniqueName="[Employee].[Hours_Worked_Per_Week].[All]" dimensionUniqueName="[Employee]" displayFolder="" count="0" memberValueDatatype="5" unbalanced="0"/>
    <cacheHierarchy uniqueName="[Employee].[Productivity_Score]" caption="Productivity_Score" attribute="1" defaultMemberUniqueName="[Employee].[Productivity_Score].[All]" allUniqueName="[Employee].[Productivity_Score].[All]" dimensionUniqueName="[Employee]" displayFolder="" count="0" memberValueDatatype="5" unbalanced="0"/>
    <cacheHierarchy uniqueName="[Employee].[Mental_Health_Status]" caption="Mental_Health_Status" attribute="1" defaultMemberUniqueName="[Employee].[Mental_Health_Status].[All]" allUniqueName="[Employee].[Mental_Health_Status].[All]" dimensionUniqueName="[Employee]" displayFolder="" count="0" memberValueDatatype="130" unbalanced="0"/>
    <cacheHierarchy uniqueName="[Employee].[Burnout_Score]" caption="Burnout_Score" attribute="1" defaultMemberUniqueName="[Employee].[Burnout_Score].[All]" allUniqueName="[Employee].[Burnout_Score].[All]" dimensionUniqueName="[Employee]" displayFolder="" count="0" memberValueDatatype="20" unbalanced="0"/>
    <cacheHierarchy uniqueName="[Employee].[Burnout_Rate]" caption="Burnout_Rate" attribute="1" defaultMemberUniqueName="[Employee].[Burnout_Rate].[All]" allUniqueName="[Employee].[Burnout_Rate].[All]" dimensionUniqueName="[Employee]" displayFolder="" count="0" memberValueDatatype="130" unbalanced="0"/>
    <cacheHierarchy uniqueName="[Employee].[Sleep_Hours_Per_Day]" caption="Sleep_Hours_Per_Day" attribute="1" defaultMemberUniqueName="[Employee].[Sleep_Hours_Per_Day].[All]" allUniqueName="[Employee].[Sleep_Hours_Per_Day].[All]" dimensionUniqueName="[Employee]" displayFolder="" count="0" memberValueDatatype="5" unbalanced="0"/>
    <cacheHierarchy uniqueName="[Employee].[Exercise_Frequency]" caption="Exercise_Frequency" attribute="1" defaultMemberUniqueName="[Employee].[Exercise_Frequency].[All]" allUniqueName="[Employee].[Exercise_Frequency].[All]" dimensionUniqueName="[Employee]" displayFolder="" count="0" memberValueDatatype="130" unbalanced="0"/>
    <cacheHierarchy uniqueName="[Employee].[Work_Life_Balance_Rating]" caption="Work_Life_Balance_Rating" attribute="1" defaultMemberUniqueName="[Employee].[Work_Life_Balance_Rating].[All]" allUniqueName="[Employee].[Work_Life_Balance_Rating].[All]" dimensionUniqueName="[Employee]" displayFolder="" count="0" memberValueDatatype="5" unbalanced="0"/>
    <cacheHierarchy uniqueName="[Employee].[Has_Access_To_Therapist]" caption="Has_Access_To_Therapist" attribute="1" defaultMemberUniqueName="[Employee].[Has_Access_To_Therapist].[All]" allUniqueName="[Employee].[Has_Access_To_Therapist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Willing_To_Return_Onsite]" caption="Willing_To_Return_Onsite" attribute="1" defaultMemberUniqueName="[Employee].[Willing_To_Return_Onsite].[All]" allUniqueName="[Employee].[Willing_To_Return_Onsite].[All]" dimensionUniqueName="[Employee]" displayFolder="" count="0" memberValueDatatype="130" unbalanced="0"/>
    <cacheHierarchy uniqueName="[Employee].[Remote_Setup_Satisfaction]" caption="Remote_Setup_Satisfaction" attribute="1" defaultMemberUniqueName="[Employee].[Remote_Setup_Satisfaction].[All]" allUniqueName="[Employee].[Remote_Setup_Satisfaction].[All]" dimensionUniqueName="[Employee]" displayFolder="" count="0" memberValueDatatype="5" unbalanced="0"/>
    <cacheHierarchy uniqueName="[Employee].[Internet_Issues_Frequency]" caption="Internet_Issues_Frequency" attribute="1" defaultMemberUniqueName="[Employee].[Internet_Issues_Frequency].[All]" allUniqueName="[Employee].[Internet_Issues_Frequency].[All]" dimensionUniqueName="[Employee]" displayFolder="" count="0" memberValueDatatype="130" unbalanced="0"/>
    <cacheHierarchy uniqueName="[Employee].[Team_Communication_Effectiveness]" caption="Team_Communication_Effectiveness" attribute="1" defaultMemberUniqueName="[Employee].[Team_Communication_Effectiveness].[All]" allUniqueName="[Employee].[Team_Communication_Effectiveness].[All]" dimensionUniqueName="[Employee]" displayFolder="" count="0" memberValueDatatype="5" unbalanced="0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Productivity_Score]" caption="Sum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ivity_Score]" caption="Average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urnout_Rate]" caption="Count of Burnout_Rate" measure="1" displayFolder="" measureGroup="Employe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Exercise_Frequency]" caption="Count of Exercise_Frequency" measure="1" displayFolder="" measureGroup="Employe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leep_Hours_Per_Day]" caption="Sum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s_Worked_Per_Week]" caption="Sum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leep_Hours_Per_Day]" caption="Average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Hours_Worked_Per_Week]" caption="Average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ental_Health_Status]" caption="Count of Mental_Health_Status" measure="1" displayFolder="" measureGroup="Employe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mployee_ID]" caption="Sum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_ID]" caption="Count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rnout_Score]" caption="Sum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urnout_Score]" caption="Average of Burnout_Score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830812615743" backgroundQuery="1" createdVersion="8" refreshedVersion="8" minRefreshableVersion="3" recordCount="0" supportSubquery="1" supportAdvancedDrill="1" xr:uid="{AFFCE60F-F01A-4C1A-AB45-D168C9FB98BD}">
  <cacheSource type="external" connectionId="1"/>
  <cacheFields count="2">
    <cacheField name="[Employee].[Country].[Country]" caption="Country" numFmtId="0" hierarchy="4" level="1">
      <sharedItems count="7">
        <s v="Australia"/>
        <s v="Brazil"/>
        <s v="Canada"/>
        <s v="Germany"/>
        <s v="India"/>
        <s v="UK"/>
        <s v="USA"/>
      </sharedItems>
    </cacheField>
    <cacheField name="[Measures].[Average of Burnout_Score]" caption="Average of Burnout_Score" numFmtId="0" hierarchy="35" level="32767"/>
  </cacheFields>
  <cacheHierarchies count="36">
    <cacheHierarchy uniqueName="[Employee].[Employee_ID]" caption="Employee_ID" attribute="1" defaultMemberUniqueName="[Employee].[Employee_ID].[All]" allUniqueName="[Employee].[Employee_ID].[All]" dimensionUniqueName="[Employee]" displayFolder="" count="0" memberValueDatatype="20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20" unbalanced="0"/>
    <cacheHierarchy uniqueName="[Employee].[Gender]" caption="Gender" attribute="1" defaultMemberUniqueName="[Employee].[Gender].[All]" allUniqueName="[Employee].[Gender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Job_Role]" caption="Job_Role" attribute="1" defaultMemberUniqueName="[Employee].[Job_Role].[All]" allUniqueName="[Employee].[Job_Role].[All]" dimensionUniqueName="[Employee]" displayFolder="" count="0" memberValueDatatype="130" unbalanced="0"/>
    <cacheHierarchy uniqueName="[Employee].[Experience_Years]" caption="Experience_Years" attribute="1" defaultMemberUniqueName="[Employee].[Experience_Years].[All]" allUniqueName="[Employee].[Experience_Years].[All]" dimensionUniqueName="[Employee]" displayFolder="" count="0" memberValueDatatype="5" unbalanced="0"/>
    <cacheHierarchy uniqueName="[Employee].[Work_Mode]" caption="Work_Mode" attribute="1" defaultMemberUniqueName="[Employee].[Work_Mode].[All]" allUniqueName="[Employee].[Work_Mode].[All]" dimensionUniqueName="[Employee]" displayFolder="" count="0" memberValueDatatype="130" unbalanced="0"/>
    <cacheHierarchy uniqueName="[Employee].[Hours_Worked_Per_Week]" caption="Hours_Worked_Per_Week" attribute="1" defaultMemberUniqueName="[Employee].[Hours_Worked_Per_Week].[All]" allUniqueName="[Employee].[Hours_Worked_Per_Week].[All]" dimensionUniqueName="[Employee]" displayFolder="" count="0" memberValueDatatype="5" unbalanced="0"/>
    <cacheHierarchy uniqueName="[Employee].[Productivity_Score]" caption="Productivity_Score" attribute="1" defaultMemberUniqueName="[Employee].[Productivity_Score].[All]" allUniqueName="[Employee].[Productivity_Score].[All]" dimensionUniqueName="[Employee]" displayFolder="" count="0" memberValueDatatype="5" unbalanced="0"/>
    <cacheHierarchy uniqueName="[Employee].[Mental_Health_Status]" caption="Mental_Health_Status" attribute="1" defaultMemberUniqueName="[Employee].[Mental_Health_Status].[All]" allUniqueName="[Employee].[Mental_Health_Status].[All]" dimensionUniqueName="[Employee]" displayFolder="" count="0" memberValueDatatype="130" unbalanced="0"/>
    <cacheHierarchy uniqueName="[Employee].[Burnout_Score]" caption="Burnout_Score" attribute="1" defaultMemberUniqueName="[Employee].[Burnout_Score].[All]" allUniqueName="[Employee].[Burnout_Score].[All]" dimensionUniqueName="[Employee]" displayFolder="" count="0" memberValueDatatype="20" unbalanced="0"/>
    <cacheHierarchy uniqueName="[Employee].[Burnout_Rate]" caption="Burnout_Rate" attribute="1" defaultMemberUniqueName="[Employee].[Burnout_Rate].[All]" allUniqueName="[Employee].[Burnout_Rate].[All]" dimensionUniqueName="[Employee]" displayFolder="" count="0" memberValueDatatype="130" unbalanced="0"/>
    <cacheHierarchy uniqueName="[Employee].[Sleep_Hours_Per_Day]" caption="Sleep_Hours_Per_Day" attribute="1" defaultMemberUniqueName="[Employee].[Sleep_Hours_Per_Day].[All]" allUniqueName="[Employee].[Sleep_Hours_Per_Day].[All]" dimensionUniqueName="[Employee]" displayFolder="" count="0" memberValueDatatype="5" unbalanced="0"/>
    <cacheHierarchy uniqueName="[Employee].[Exercise_Frequency]" caption="Exercise_Frequency" attribute="1" defaultMemberUniqueName="[Employee].[Exercise_Frequency].[All]" allUniqueName="[Employee].[Exercise_Frequency].[All]" dimensionUniqueName="[Employee]" displayFolder="" count="0" memberValueDatatype="130" unbalanced="0"/>
    <cacheHierarchy uniqueName="[Employee].[Work_Life_Balance_Rating]" caption="Work_Life_Balance_Rating" attribute="1" defaultMemberUniqueName="[Employee].[Work_Life_Balance_Rating].[All]" allUniqueName="[Employee].[Work_Life_Balance_Rating].[All]" dimensionUniqueName="[Employee]" displayFolder="" count="0" memberValueDatatype="5" unbalanced="0"/>
    <cacheHierarchy uniqueName="[Employee].[Has_Access_To_Therapist]" caption="Has_Access_To_Therapist" attribute="1" defaultMemberUniqueName="[Employee].[Has_Access_To_Therapist].[All]" allUniqueName="[Employee].[Has_Access_To_Therapist].[All]" dimensionUniqueName="[Employee]" displayFolder="" count="0" memberValueDatatype="130" unbalanced="0"/>
    <cacheHierarchy uniqueName="[Employee].[Willing_To_Return_Onsite]" caption="Willing_To_Return_Onsite" attribute="1" defaultMemberUniqueName="[Employee].[Willing_To_Return_Onsite].[All]" allUniqueName="[Employee].[Willing_To_Return_Onsite].[All]" dimensionUniqueName="[Employee]" displayFolder="" count="0" memberValueDatatype="130" unbalanced="0"/>
    <cacheHierarchy uniqueName="[Employee].[Remote_Setup_Satisfaction]" caption="Remote_Setup_Satisfaction" attribute="1" defaultMemberUniqueName="[Employee].[Remote_Setup_Satisfaction].[All]" allUniqueName="[Employee].[Remote_Setup_Satisfaction].[All]" dimensionUniqueName="[Employee]" displayFolder="" count="0" memberValueDatatype="5" unbalanced="0"/>
    <cacheHierarchy uniqueName="[Employee].[Internet_Issues_Frequency]" caption="Internet_Issues_Frequency" attribute="1" defaultMemberUniqueName="[Employee].[Internet_Issues_Frequency].[All]" allUniqueName="[Employee].[Internet_Issues_Frequency].[All]" dimensionUniqueName="[Employee]" displayFolder="" count="0" memberValueDatatype="130" unbalanced="0"/>
    <cacheHierarchy uniqueName="[Employee].[Team_Communication_Effectiveness]" caption="Team_Communication_Effectiveness" attribute="1" defaultMemberUniqueName="[Employee].[Team_Communication_Effectiveness].[All]" allUniqueName="[Employee].[Team_Communication_Effectiveness].[All]" dimensionUniqueName="[Employee]" displayFolder="" count="0" memberValueDatatype="5" unbalanced="0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Sum of Productivity_Score]" caption="Sum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ivity_Score]" caption="Average of Productivity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urnout_Rate]" caption="Count of Burnout_Rate" measure="1" displayFolder="" measureGroup="Employe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Exercise_Frequency]" caption="Count of Exercise_Frequency" measure="1" displayFolder="" measureGroup="Employe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leep_Hours_Per_Day]" caption="Sum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s_Worked_Per_Week]" caption="Sum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leep_Hours_Per_Day]" caption="Average of Sleep_Hours_Per_Day" measure="1" displayFolder="" measureGroup="Employe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Hours_Worked_Per_Week]" caption="Average of Hours_Worked_Per_Week" measure="1" displayFolder="" measureGroup="Employe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ental_Health_Status]" caption="Count of Mental_Health_Status" measure="1" displayFolder="" measureGroup="Employe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mployee_ID]" caption="Sum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_ID]" caption="Count of Employee_ID" measure="1" displayFolder="" measureGroup="Employe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urnout_Score]" caption="Sum of Burnout_Score" measure="1" displayFolder="" measureGroup="Employe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urnout_Score]" caption="Average of Burnout_Score" measure="1" displayFolder="" measureGroup="Employe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" uniqueName="[Employee]" caption="Employee"/>
    <dimension measure="1" name="Measures" uniqueName="[Measures]" caption="Measures"/>
  </dimensions>
  <measureGroups count="1">
    <measureGroup name="Employee" caption="Employe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07D7E-C642-4506-8BF4-369A4EB5257F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G10:H1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Burnout_Score" fld="1" subtotal="average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Burnout_Score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remote_workers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61543-32AA-4753-A90B-CE3DC59C05A7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herapist access">
  <location ref="B21:C2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Burnout_Score" fld="1" subtotal="average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Burnout_Score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remote_workers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B9ED7-1D22-41BF-8172-3349491104A1}" name="PivotTable3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work mode">
  <location ref="H2:I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roductivity_Score" fld="1" subtotal="average" baseField="0" baseItem="0"/>
  </dataFields>
  <formats count="2">
    <format dxfId="16">
      <pivotArea collapsedLevelsAreSubtotals="1" fieldPosition="0">
        <references count="1">
          <reference field="0" count="1">
            <x v="0"/>
          </reference>
        </references>
      </pivotArea>
    </format>
    <format dxfId="17">
      <pivotArea collapsedLevelsAreSubtotals="1" fieldPosition="0">
        <references count="1">
          <reference field="0" count="1">
            <x v="2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Productivity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remote_workers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51FA6-A92D-4B3B-9C28-C13EB182C9ED}" name="PivotTable2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Job role" colHeaderCaption="Burnout Rate">
  <location ref="A10:E18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Burnout_Rate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remote_workers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B6BD1-AC07-4A0D-9595-011A6CE56FD8}" name="PivotTable1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urnout rate" colHeaderCaption="Exercise frequency">
  <location ref="A2:F7" firstHeaderRow="1" firstDataRow="2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 v="2"/>
    </i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xercise_Frequency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remote_workers.xlsx!Employee"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CEDC5-04D6-4522-9119-09DA0432D67B}" name="Employee" displayName="Employee" ref="A1:U101" totalsRowShown="0">
  <autoFilter ref="A1:U101" xr:uid="{423CEDC5-04D6-4522-9119-09DA0432D67B}"/>
  <tableColumns count="21">
    <tableColumn id="1" xr3:uid="{18ACF3A9-C2FE-43A0-AE1C-A49475B1B35A}" name="Employee_ID"/>
    <tableColumn id="2" xr3:uid="{F6E9BD99-CC2D-4F34-BC53-BBA71530BC2F}" name="Name"/>
    <tableColumn id="3" xr3:uid="{FA12ED66-3648-427C-9790-2026B855CAE2}" name="Age"/>
    <tableColumn id="4" xr3:uid="{9D1C8020-E93E-410B-A234-2E3F79F60DD8}" name="Gender"/>
    <tableColumn id="5" xr3:uid="{8D98852F-6D7D-44E9-A388-204A7710F1DD}" name="Country"/>
    <tableColumn id="6" xr3:uid="{C505A69E-BBCE-4D1A-B06E-5034FE9D5F4C}" name="Job_Role"/>
    <tableColumn id="7" xr3:uid="{EAD6FD2F-3FA3-4EE6-801E-929D0C7204C4}" name="Experience_Years"/>
    <tableColumn id="8" xr3:uid="{0AE7ADDF-4ADB-411F-878B-5AC23EF5DE56}" name="Work_Mode"/>
    <tableColumn id="9" xr3:uid="{7F7AEFEB-56B0-4B84-AA32-CE51059DB086}" name="Hours_Worked_Per_Week"/>
    <tableColumn id="10" xr3:uid="{A2A2ED4D-A3FB-4804-AE2E-A1E824A699FE}" name="Productivity_Score"/>
    <tableColumn id="11" xr3:uid="{AF5E24F3-C42E-40D6-9A3E-31A0504B15E0}" name="Mental_Health_Status"/>
    <tableColumn id="12" xr3:uid="{5A5881BB-9511-4CE4-8710-3A8317E06E42}" name="Burnout_Score"/>
    <tableColumn id="23" xr3:uid="{277F5AED-E747-470E-A4F5-F5FA8772F1AF}" name="Burnout_Rate" dataDxfId="19">
      <calculatedColumnFormula array="1">_xlfn.IFS(Employee[[#This Row],[Burnout_Score]]&lt;=30,"Low", AND(Employee[[#This Row],[Burnout_Score]]&gt;30,Employee[[#This Row],[Burnout_Score]]&lt;=60),"Medium", Employee[[#This Row],[Burnout_Score]]&gt;60,"High")</calculatedColumnFormula>
    </tableColumn>
    <tableColumn id="13" xr3:uid="{714A266B-BD3C-4744-822E-0B8AD9FF9AAF}" name="Sleep_Hours_Per_Day"/>
    <tableColumn id="14" xr3:uid="{AA59B917-B053-4113-B8F4-CFDB20274F50}" name="Exercise_Frequency"/>
    <tableColumn id="15" xr3:uid="{EC8BBA01-7525-4CC5-BEC7-8E70DE67E24D}" name="Work_Life_Balance_Rating"/>
    <tableColumn id="16" xr3:uid="{902A4FE5-3BD8-4CF5-8236-F38BB5548FA6}" name="Has_Access_To_Therapist"/>
    <tableColumn id="17" xr3:uid="{0512C023-206F-4ACD-A6D0-A2D9D61C1009}" name="Willing_To_Return_Onsite"/>
    <tableColumn id="18" xr3:uid="{8FFD4728-E8A4-48A8-81C4-094F86BB2A83}" name="Remote_Setup_Satisfaction"/>
    <tableColumn id="19" xr3:uid="{E218673D-EB14-4494-9483-13A736F1C92E}" name="Internet_Issues_Frequency"/>
    <tableColumn id="20" xr3:uid="{EB81DBE1-A4E4-4C8A-968E-903BF538AB88}" name="Team_Communication_Effectivene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1F3C3E-3A71-4F60-9852-999378C79F60}" name="Table2" displayName="Table2" ref="A1:B9" totalsRowShown="0" tableBorderDxfId="18">
  <autoFilter ref="A1:B9" xr:uid="{E51F3C3E-3A71-4F60-9852-999378C79F60}"/>
  <tableColumns count="2">
    <tableColumn id="1" xr3:uid="{C3C8546E-F94F-430F-8E7A-8D665C72BF7C}" name="Employee_ID"/>
    <tableColumn id="2" xr3:uid="{A13CC815-B6FA-4AAF-B2F6-0E9BFA2E2535}" name="Xlookup">
      <calculatedColumnFormula>_xlfn.XLOOKUP(A2,Employee[Employee_ID],Employee[Country],"NA",0)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zoomScale="116" workbookViewId="0">
      <pane ySplit="1" topLeftCell="A2" activePane="bottomLeft" state="frozen"/>
      <selection pane="bottomLeft" activeCell="R15" sqref="R15"/>
    </sheetView>
  </sheetViews>
  <sheetFormatPr defaultRowHeight="14.4" x14ac:dyDescent="0.3"/>
  <cols>
    <col min="1" max="1" width="14" customWidth="1"/>
    <col min="4" max="4" width="14.6640625" bestFit="1" customWidth="1"/>
    <col min="5" max="5" width="9.6640625" customWidth="1"/>
    <col min="6" max="6" width="15.109375" bestFit="1" customWidth="1"/>
    <col min="7" max="7" width="17.44140625" customWidth="1"/>
    <col min="8" max="8" width="13.44140625" customWidth="1"/>
    <col min="9" max="9" width="25" customWidth="1"/>
    <col min="10" max="10" width="18.77734375" customWidth="1"/>
    <col min="11" max="11" width="21.5546875" customWidth="1"/>
    <col min="12" max="12" width="15.44140625" customWidth="1"/>
    <col min="13" max="13" width="21.33203125" customWidth="1"/>
    <col min="14" max="14" width="25.33203125" customWidth="1"/>
    <col min="15" max="15" width="24.33203125" customWidth="1"/>
    <col min="16" max="16" width="24.6640625" customWidth="1"/>
    <col min="17" max="17" width="26.109375" customWidth="1"/>
    <col min="18" max="18" width="25.44140625" customWidth="1"/>
    <col min="19" max="19" width="34" customWidth="1"/>
    <col min="20" max="20" width="26.109375" bestFit="1" customWidth="1"/>
    <col min="21" max="21" width="34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>
        <v>28</v>
      </c>
      <c r="D2" t="s">
        <v>21</v>
      </c>
      <c r="E2" t="s">
        <v>22</v>
      </c>
      <c r="F2" t="s">
        <v>23</v>
      </c>
      <c r="G2">
        <v>5.4</v>
      </c>
      <c r="H2" t="s">
        <v>24</v>
      </c>
      <c r="I2">
        <v>45.4</v>
      </c>
      <c r="J2">
        <v>6.6</v>
      </c>
      <c r="K2" t="s">
        <v>25</v>
      </c>
      <c r="L2">
        <v>44</v>
      </c>
      <c r="M2" t="str" cm="1">
        <f t="array" ref="M2">_xlfn.IFS(Employee[[#This Row],[Burnout_Score]]&lt;=30,"Low", AND(Employee[[#This Row],[Burnout_Score]]&gt;30,Employee[[#This Row],[Burnout_Score]]&lt;=60),"Medium", Employee[[#This Row],[Burnout_Score]]&gt;60,"High")</f>
        <v>Medium</v>
      </c>
      <c r="N2">
        <v>5.7</v>
      </c>
      <c r="O2">
        <v>1</v>
      </c>
      <c r="P2">
        <v>7.5</v>
      </c>
      <c r="Q2" t="s">
        <v>149</v>
      </c>
      <c r="R2" t="s">
        <v>150</v>
      </c>
      <c r="S2">
        <v>9.9</v>
      </c>
      <c r="T2" t="s">
        <v>27</v>
      </c>
      <c r="U2">
        <v>7.7</v>
      </c>
    </row>
    <row r="3" spans="1:21" x14ac:dyDescent="0.3">
      <c r="A3">
        <v>2</v>
      </c>
      <c r="B3" t="s">
        <v>28</v>
      </c>
      <c r="C3">
        <v>41</v>
      </c>
      <c r="D3" t="s">
        <v>29</v>
      </c>
      <c r="E3" t="s">
        <v>30</v>
      </c>
      <c r="F3" t="s">
        <v>31</v>
      </c>
      <c r="G3">
        <v>10.5</v>
      </c>
      <c r="H3" t="s">
        <v>32</v>
      </c>
      <c r="I3">
        <v>40.4</v>
      </c>
      <c r="J3">
        <v>8.4</v>
      </c>
      <c r="K3" t="s">
        <v>33</v>
      </c>
      <c r="L3">
        <v>58</v>
      </c>
      <c r="M3" t="str" cm="1">
        <f t="array" ref="M3">_xlfn.IFS(Employee[[#This Row],[Burnout_Score]]&lt;=30,"Low", AND(Employee[[#This Row],[Burnout_Score]]&gt;30,Employee[[#This Row],[Burnout_Score]]&lt;=60),"Medium", Employee[[#This Row],[Burnout_Score]]&gt;60,"High")</f>
        <v>Medium</v>
      </c>
      <c r="N3">
        <v>5.0999999999999996</v>
      </c>
      <c r="O3">
        <v>3</v>
      </c>
      <c r="P3">
        <v>8.6</v>
      </c>
      <c r="Q3" t="s">
        <v>150</v>
      </c>
      <c r="R3" t="s">
        <v>149</v>
      </c>
      <c r="S3">
        <v>2.5</v>
      </c>
      <c r="T3" t="s">
        <v>35</v>
      </c>
      <c r="U3">
        <v>9</v>
      </c>
    </row>
    <row r="4" spans="1:21" x14ac:dyDescent="0.3">
      <c r="A4">
        <v>3</v>
      </c>
      <c r="B4" t="s">
        <v>36</v>
      </c>
      <c r="C4">
        <v>36</v>
      </c>
      <c r="D4" t="s">
        <v>37</v>
      </c>
      <c r="E4" t="s">
        <v>38</v>
      </c>
      <c r="F4" t="s">
        <v>39</v>
      </c>
      <c r="G4">
        <v>11.9</v>
      </c>
      <c r="H4" t="s">
        <v>40</v>
      </c>
      <c r="I4">
        <v>43.6</v>
      </c>
      <c r="J4">
        <v>6.6</v>
      </c>
      <c r="K4" t="s">
        <v>33</v>
      </c>
      <c r="L4">
        <v>78</v>
      </c>
      <c r="M4" t="str" cm="1">
        <f t="array" ref="M4">_xlfn.IFS(Employee[[#This Row],[Burnout_Score]]&lt;=30,"Low", AND(Employee[[#This Row],[Burnout_Score]]&gt;30,Employee[[#This Row],[Burnout_Score]]&lt;=60),"Medium", Employee[[#This Row],[Burnout_Score]]&gt;60,"High")</f>
        <v>High</v>
      </c>
      <c r="N4">
        <v>6.1</v>
      </c>
      <c r="O4">
        <v>0</v>
      </c>
      <c r="P4">
        <v>6.2</v>
      </c>
      <c r="Q4" t="s">
        <v>150</v>
      </c>
      <c r="R4" t="s">
        <v>150</v>
      </c>
      <c r="S4">
        <v>9.1</v>
      </c>
      <c r="T4" t="s">
        <v>35</v>
      </c>
      <c r="U4">
        <v>7.7</v>
      </c>
    </row>
    <row r="5" spans="1:21" x14ac:dyDescent="0.3">
      <c r="A5">
        <v>4</v>
      </c>
      <c r="B5" t="s">
        <v>42</v>
      </c>
      <c r="C5">
        <v>32</v>
      </c>
      <c r="D5" t="s">
        <v>29</v>
      </c>
      <c r="E5" t="s">
        <v>38</v>
      </c>
      <c r="F5" t="s">
        <v>43</v>
      </c>
      <c r="G5">
        <v>15.6</v>
      </c>
      <c r="H5" t="s">
        <v>40</v>
      </c>
      <c r="I5">
        <v>41.3</v>
      </c>
      <c r="J5">
        <v>9</v>
      </c>
      <c r="K5" t="s">
        <v>44</v>
      </c>
      <c r="L5">
        <v>71</v>
      </c>
      <c r="M5" t="str" cm="1">
        <f t="array" ref="M5">_xlfn.IFS(Employee[[#This Row],[Burnout_Score]]&lt;=30,"Low", AND(Employee[[#This Row],[Burnout_Score]]&gt;30,Employee[[#This Row],[Burnout_Score]]&lt;=60),"Medium", Employee[[#This Row],[Burnout_Score]]&gt;60,"High")</f>
        <v>High</v>
      </c>
      <c r="N5">
        <v>5.4</v>
      </c>
      <c r="O5">
        <v>1</v>
      </c>
      <c r="P5">
        <v>8.5</v>
      </c>
      <c r="Q5" t="s">
        <v>149</v>
      </c>
      <c r="R5" t="s">
        <v>149</v>
      </c>
      <c r="S5">
        <v>6.1</v>
      </c>
      <c r="T5" t="s">
        <v>27</v>
      </c>
      <c r="U5">
        <v>8.4</v>
      </c>
    </row>
    <row r="6" spans="1:21" x14ac:dyDescent="0.3">
      <c r="A6">
        <v>5</v>
      </c>
      <c r="B6" t="s">
        <v>45</v>
      </c>
      <c r="C6">
        <v>29</v>
      </c>
      <c r="D6" t="s">
        <v>37</v>
      </c>
      <c r="E6" t="s">
        <v>46</v>
      </c>
      <c r="F6" t="s">
        <v>31</v>
      </c>
      <c r="G6">
        <v>1.8</v>
      </c>
      <c r="H6" t="s">
        <v>40</v>
      </c>
      <c r="I6">
        <v>42.5</v>
      </c>
      <c r="J6">
        <v>6.9</v>
      </c>
      <c r="K6" t="s">
        <v>25</v>
      </c>
      <c r="L6">
        <v>69</v>
      </c>
      <c r="M6" t="str" cm="1">
        <f t="array" ref="M6">_xlfn.IFS(Employee[[#This Row],[Burnout_Score]]&lt;=30,"Low", AND(Employee[[#This Row],[Burnout_Score]]&gt;30,Employee[[#This Row],[Burnout_Score]]&lt;=60),"Medium", Employee[[#This Row],[Burnout_Score]]&gt;60,"High")</f>
        <v>High</v>
      </c>
      <c r="N6">
        <v>7.1</v>
      </c>
      <c r="O6">
        <v>0</v>
      </c>
      <c r="P6">
        <v>6</v>
      </c>
      <c r="Q6" t="s">
        <v>149</v>
      </c>
      <c r="R6" t="s">
        <v>149</v>
      </c>
      <c r="S6">
        <v>9.3000000000000007</v>
      </c>
      <c r="T6" t="s">
        <v>41</v>
      </c>
      <c r="U6">
        <v>4.7</v>
      </c>
    </row>
    <row r="7" spans="1:21" x14ac:dyDescent="0.3">
      <c r="A7">
        <v>6</v>
      </c>
      <c r="B7" t="s">
        <v>47</v>
      </c>
      <c r="C7">
        <v>42</v>
      </c>
      <c r="D7" t="s">
        <v>21</v>
      </c>
      <c r="E7" t="s">
        <v>48</v>
      </c>
      <c r="F7" t="s">
        <v>23</v>
      </c>
      <c r="G7">
        <v>19.899999999999999</v>
      </c>
      <c r="H7" t="s">
        <v>32</v>
      </c>
      <c r="I7">
        <v>45</v>
      </c>
      <c r="J7">
        <v>6.9</v>
      </c>
      <c r="K7" t="s">
        <v>25</v>
      </c>
      <c r="L7">
        <v>59</v>
      </c>
      <c r="M7" t="str" cm="1">
        <f t="array" ref="M7">_xlfn.IFS(Employee[[#This Row],[Burnout_Score]]&lt;=30,"Low", AND(Employee[[#This Row],[Burnout_Score]]&gt;30,Employee[[#This Row],[Burnout_Score]]&lt;=60),"Medium", Employee[[#This Row],[Burnout_Score]]&gt;60,"High")</f>
        <v>Medium</v>
      </c>
      <c r="N7">
        <v>8.6</v>
      </c>
      <c r="O7">
        <v>2</v>
      </c>
      <c r="P7">
        <v>2.5</v>
      </c>
      <c r="Q7" t="s">
        <v>150</v>
      </c>
      <c r="R7" t="s">
        <v>150</v>
      </c>
      <c r="S7">
        <v>6.6</v>
      </c>
      <c r="T7" t="s">
        <v>41</v>
      </c>
      <c r="U7">
        <v>8.5</v>
      </c>
    </row>
    <row r="8" spans="1:21" x14ac:dyDescent="0.3">
      <c r="A8">
        <v>7</v>
      </c>
      <c r="B8" t="s">
        <v>50</v>
      </c>
      <c r="C8">
        <v>28</v>
      </c>
      <c r="D8" t="s">
        <v>51</v>
      </c>
      <c r="E8" t="s">
        <v>52</v>
      </c>
      <c r="F8" t="s">
        <v>23</v>
      </c>
      <c r="G8">
        <v>9.9</v>
      </c>
      <c r="H8" t="s">
        <v>40</v>
      </c>
      <c r="I8">
        <v>37.9</v>
      </c>
      <c r="J8">
        <v>9.1</v>
      </c>
      <c r="K8" t="s">
        <v>44</v>
      </c>
      <c r="L8">
        <v>87</v>
      </c>
      <c r="M8" t="str" cm="1">
        <f t="array" ref="M8">_xlfn.IFS(Employee[[#This Row],[Burnout_Score]]&lt;=30,"Low", AND(Employee[[#This Row],[Burnout_Score]]&gt;30,Employee[[#This Row],[Burnout_Score]]&lt;=60),"Medium", Employee[[#This Row],[Burnout_Score]]&gt;60,"High")</f>
        <v>High</v>
      </c>
      <c r="N8">
        <v>4.7</v>
      </c>
      <c r="O8">
        <v>1</v>
      </c>
      <c r="P8">
        <v>5.2</v>
      </c>
      <c r="Q8" t="s">
        <v>149</v>
      </c>
      <c r="R8" t="s">
        <v>150</v>
      </c>
      <c r="S8">
        <v>7.3</v>
      </c>
      <c r="T8" t="s">
        <v>41</v>
      </c>
      <c r="U8">
        <v>2.6</v>
      </c>
    </row>
    <row r="9" spans="1:21" x14ac:dyDescent="0.3">
      <c r="A9">
        <v>8</v>
      </c>
      <c r="B9" t="s">
        <v>53</v>
      </c>
      <c r="C9">
        <v>47</v>
      </c>
      <c r="D9" t="s">
        <v>37</v>
      </c>
      <c r="E9" t="s">
        <v>52</v>
      </c>
      <c r="F9" t="s">
        <v>31</v>
      </c>
      <c r="G9">
        <v>6.3</v>
      </c>
      <c r="H9" t="s">
        <v>40</v>
      </c>
      <c r="I9">
        <v>52.5</v>
      </c>
      <c r="J9">
        <v>5.8</v>
      </c>
      <c r="K9" t="s">
        <v>44</v>
      </c>
      <c r="L9">
        <v>84</v>
      </c>
      <c r="M9" t="str" cm="1">
        <f t="array" ref="M9">_xlfn.IFS(Employee[[#This Row],[Burnout_Score]]&lt;=30,"Low", AND(Employee[[#This Row],[Burnout_Score]]&gt;30,Employee[[#This Row],[Burnout_Score]]&lt;=60),"Medium", Employee[[#This Row],[Burnout_Score]]&gt;60,"High")</f>
        <v>High</v>
      </c>
      <c r="N9">
        <v>4.5</v>
      </c>
      <c r="O9">
        <v>0</v>
      </c>
      <c r="P9">
        <v>6</v>
      </c>
      <c r="Q9" t="s">
        <v>149</v>
      </c>
      <c r="R9" t="s">
        <v>149</v>
      </c>
      <c r="S9">
        <v>6.4</v>
      </c>
      <c r="T9" t="s">
        <v>41</v>
      </c>
      <c r="U9">
        <v>9.1999999999999993</v>
      </c>
    </row>
    <row r="10" spans="1:21" x14ac:dyDescent="0.3">
      <c r="A10">
        <v>9</v>
      </c>
      <c r="B10" t="s">
        <v>54</v>
      </c>
      <c r="C10">
        <v>40</v>
      </c>
      <c r="D10" t="s">
        <v>29</v>
      </c>
      <c r="E10" t="s">
        <v>22</v>
      </c>
      <c r="F10" t="s">
        <v>23</v>
      </c>
      <c r="G10">
        <v>17.8</v>
      </c>
      <c r="H10" t="s">
        <v>32</v>
      </c>
      <c r="I10">
        <v>37</v>
      </c>
      <c r="J10">
        <v>3.9</v>
      </c>
      <c r="K10" t="s">
        <v>25</v>
      </c>
      <c r="L10">
        <v>18</v>
      </c>
      <c r="M10" t="str" cm="1">
        <f t="array" ref="M10">_xlfn.IFS(Employee[[#This Row],[Burnout_Score]]&lt;=30,"Low", AND(Employee[[#This Row],[Burnout_Score]]&gt;30,Employee[[#This Row],[Burnout_Score]]&lt;=60),"Medium", Employee[[#This Row],[Burnout_Score]]&gt;60,"High")</f>
        <v>Low</v>
      </c>
      <c r="N10">
        <v>5.3</v>
      </c>
      <c r="O10">
        <v>0</v>
      </c>
      <c r="P10">
        <v>7.8</v>
      </c>
      <c r="Q10" t="s">
        <v>150</v>
      </c>
      <c r="R10" t="s">
        <v>150</v>
      </c>
      <c r="S10">
        <v>8.9</v>
      </c>
      <c r="T10" t="s">
        <v>35</v>
      </c>
      <c r="U10">
        <v>6.4</v>
      </c>
    </row>
    <row r="11" spans="1:21" x14ac:dyDescent="0.3">
      <c r="A11">
        <v>10</v>
      </c>
      <c r="B11" t="s">
        <v>55</v>
      </c>
      <c r="C11">
        <v>44</v>
      </c>
      <c r="D11" t="s">
        <v>21</v>
      </c>
      <c r="E11" t="s">
        <v>46</v>
      </c>
      <c r="F11" t="s">
        <v>31</v>
      </c>
      <c r="G11">
        <v>15.2</v>
      </c>
      <c r="H11" t="s">
        <v>24</v>
      </c>
      <c r="I11">
        <v>35.9</v>
      </c>
      <c r="J11">
        <v>3.2</v>
      </c>
      <c r="K11" t="s">
        <v>33</v>
      </c>
      <c r="L11">
        <v>43</v>
      </c>
      <c r="M11" t="str" cm="1">
        <f t="array" ref="M11">_xlfn.IFS(Employee[[#This Row],[Burnout_Score]]&lt;=30,"Low", AND(Employee[[#This Row],[Burnout_Score]]&gt;30,Employee[[#This Row],[Burnout_Score]]&lt;=60),"Medium", Employee[[#This Row],[Burnout_Score]]&gt;60,"High")</f>
        <v>Medium</v>
      </c>
      <c r="N11">
        <v>7.6</v>
      </c>
      <c r="O11">
        <v>2</v>
      </c>
      <c r="P11">
        <v>2.9</v>
      </c>
      <c r="Q11" t="s">
        <v>149</v>
      </c>
      <c r="R11" t="s">
        <v>150</v>
      </c>
      <c r="S11">
        <v>7.9</v>
      </c>
      <c r="T11" t="s">
        <v>35</v>
      </c>
      <c r="U11">
        <v>8.5</v>
      </c>
    </row>
    <row r="12" spans="1:21" x14ac:dyDescent="0.3">
      <c r="A12">
        <v>11</v>
      </c>
      <c r="B12" t="s">
        <v>56</v>
      </c>
      <c r="C12">
        <v>32</v>
      </c>
      <c r="D12" t="s">
        <v>37</v>
      </c>
      <c r="E12" t="s">
        <v>57</v>
      </c>
      <c r="F12" t="s">
        <v>58</v>
      </c>
      <c r="G12">
        <v>19.100000000000001</v>
      </c>
      <c r="H12" t="s">
        <v>32</v>
      </c>
      <c r="I12">
        <v>47.8</v>
      </c>
      <c r="J12">
        <v>8.3000000000000007</v>
      </c>
      <c r="K12" t="s">
        <v>25</v>
      </c>
      <c r="L12">
        <v>85</v>
      </c>
      <c r="M12" t="str" cm="1">
        <f t="array" ref="M12">_xlfn.IFS(Employee[[#This Row],[Burnout_Score]]&lt;=30,"Low", AND(Employee[[#This Row],[Burnout_Score]]&gt;30,Employee[[#This Row],[Burnout_Score]]&lt;=60),"Medium", Employee[[#This Row],[Burnout_Score]]&gt;60,"High")</f>
        <v>High</v>
      </c>
      <c r="N12">
        <v>7</v>
      </c>
      <c r="O12">
        <v>0</v>
      </c>
      <c r="P12">
        <v>3.1</v>
      </c>
      <c r="Q12" t="s">
        <v>150</v>
      </c>
      <c r="R12" t="s">
        <v>149</v>
      </c>
      <c r="S12">
        <v>6.2</v>
      </c>
      <c r="T12" t="s">
        <v>27</v>
      </c>
      <c r="U12">
        <v>5.6</v>
      </c>
    </row>
    <row r="13" spans="1:21" x14ac:dyDescent="0.3">
      <c r="A13">
        <v>12</v>
      </c>
      <c r="B13" t="s">
        <v>59</v>
      </c>
      <c r="C13">
        <v>32</v>
      </c>
      <c r="D13" t="s">
        <v>29</v>
      </c>
      <c r="E13" t="s">
        <v>22</v>
      </c>
      <c r="F13" t="s">
        <v>31</v>
      </c>
      <c r="G13">
        <v>7.3</v>
      </c>
      <c r="H13" t="s">
        <v>40</v>
      </c>
      <c r="I13">
        <v>46</v>
      </c>
      <c r="J13">
        <v>7.3</v>
      </c>
      <c r="K13" t="s">
        <v>44</v>
      </c>
      <c r="L13">
        <v>44</v>
      </c>
      <c r="M13" t="str" cm="1">
        <f t="array" ref="M13">_xlfn.IFS(Employee[[#This Row],[Burnout_Score]]&lt;=30,"Low", AND(Employee[[#This Row],[Burnout_Score]]&gt;30,Employee[[#This Row],[Burnout_Score]]&lt;=60),"Medium", Employee[[#This Row],[Burnout_Score]]&gt;60,"High")</f>
        <v>Medium</v>
      </c>
      <c r="N13">
        <v>4.5</v>
      </c>
      <c r="O13">
        <v>0</v>
      </c>
      <c r="P13">
        <v>4.0999999999999996</v>
      </c>
      <c r="Q13" t="s">
        <v>149</v>
      </c>
      <c r="R13" t="s">
        <v>149</v>
      </c>
      <c r="S13">
        <v>8.9</v>
      </c>
      <c r="T13" t="s">
        <v>27</v>
      </c>
      <c r="U13">
        <v>7.1</v>
      </c>
    </row>
    <row r="14" spans="1:21" x14ac:dyDescent="0.3">
      <c r="A14">
        <v>13</v>
      </c>
      <c r="B14" t="s">
        <v>60</v>
      </c>
      <c r="C14">
        <v>45</v>
      </c>
      <c r="D14" t="s">
        <v>29</v>
      </c>
      <c r="E14" t="s">
        <v>46</v>
      </c>
      <c r="F14" t="s">
        <v>31</v>
      </c>
      <c r="G14">
        <v>11.5</v>
      </c>
      <c r="H14" t="s">
        <v>40</v>
      </c>
      <c r="I14">
        <v>45.1</v>
      </c>
      <c r="J14">
        <v>7.9</v>
      </c>
      <c r="K14" t="s">
        <v>33</v>
      </c>
      <c r="L14">
        <v>10</v>
      </c>
      <c r="M14" t="str" cm="1">
        <f t="array" ref="M14">_xlfn.IFS(Employee[[#This Row],[Burnout_Score]]&lt;=30,"Low", AND(Employee[[#This Row],[Burnout_Score]]&gt;30,Employee[[#This Row],[Burnout_Score]]&lt;=60),"Medium", Employee[[#This Row],[Burnout_Score]]&gt;60,"High")</f>
        <v>Low</v>
      </c>
      <c r="N14">
        <v>8.6</v>
      </c>
      <c r="O14">
        <v>2</v>
      </c>
      <c r="P14">
        <v>4.0999999999999996</v>
      </c>
      <c r="Q14" t="s">
        <v>150</v>
      </c>
      <c r="R14" t="s">
        <v>150</v>
      </c>
      <c r="S14">
        <v>4</v>
      </c>
      <c r="T14" t="s">
        <v>35</v>
      </c>
      <c r="U14">
        <v>6.2</v>
      </c>
    </row>
    <row r="15" spans="1:21" x14ac:dyDescent="0.3">
      <c r="A15">
        <v>14</v>
      </c>
      <c r="B15" t="s">
        <v>61</v>
      </c>
      <c r="C15">
        <v>42</v>
      </c>
      <c r="D15" t="s">
        <v>29</v>
      </c>
      <c r="E15" t="s">
        <v>48</v>
      </c>
      <c r="F15" t="s">
        <v>23</v>
      </c>
      <c r="G15">
        <v>11.9</v>
      </c>
      <c r="H15" t="s">
        <v>32</v>
      </c>
      <c r="I15">
        <v>45.1</v>
      </c>
      <c r="J15">
        <v>4.5</v>
      </c>
      <c r="K15" t="s">
        <v>33</v>
      </c>
      <c r="L15">
        <v>49</v>
      </c>
      <c r="M15" t="str" cm="1">
        <f t="array" ref="M15">_xlfn.IFS(Employee[[#This Row],[Burnout_Score]]&lt;=30,"Low", AND(Employee[[#This Row],[Burnout_Score]]&gt;30,Employee[[#This Row],[Burnout_Score]]&lt;=60),"Medium", Employee[[#This Row],[Burnout_Score]]&gt;60,"High")</f>
        <v>Medium</v>
      </c>
      <c r="N15">
        <v>8</v>
      </c>
      <c r="O15">
        <v>1</v>
      </c>
      <c r="P15">
        <v>7.9</v>
      </c>
      <c r="Q15" t="s">
        <v>149</v>
      </c>
      <c r="R15" t="s">
        <v>149</v>
      </c>
      <c r="S15">
        <v>3.3</v>
      </c>
      <c r="T15" t="s">
        <v>35</v>
      </c>
      <c r="U15">
        <v>7.9</v>
      </c>
    </row>
    <row r="16" spans="1:21" x14ac:dyDescent="0.3">
      <c r="A16">
        <v>15</v>
      </c>
      <c r="B16" t="s">
        <v>62</v>
      </c>
      <c r="C16">
        <v>25</v>
      </c>
      <c r="D16" t="s">
        <v>37</v>
      </c>
      <c r="E16" t="s">
        <v>48</v>
      </c>
      <c r="F16" t="s">
        <v>23</v>
      </c>
      <c r="G16">
        <v>19.600000000000001</v>
      </c>
      <c r="H16" t="s">
        <v>24</v>
      </c>
      <c r="I16">
        <v>41.9</v>
      </c>
      <c r="J16">
        <v>4</v>
      </c>
      <c r="K16" t="s">
        <v>44</v>
      </c>
      <c r="L16">
        <v>73</v>
      </c>
      <c r="M16" t="str" cm="1">
        <f t="array" ref="M16">_xlfn.IFS(Employee[[#This Row],[Burnout_Score]]&lt;=30,"Low", AND(Employee[[#This Row],[Burnout_Score]]&gt;30,Employee[[#This Row],[Burnout_Score]]&lt;=60),"Medium", Employee[[#This Row],[Burnout_Score]]&gt;60,"High")</f>
        <v>High</v>
      </c>
      <c r="N16">
        <v>4.0999999999999996</v>
      </c>
      <c r="O16">
        <v>0</v>
      </c>
      <c r="P16">
        <v>4</v>
      </c>
      <c r="Q16" t="s">
        <v>149</v>
      </c>
      <c r="R16" t="s">
        <v>149</v>
      </c>
      <c r="S16">
        <v>3.3</v>
      </c>
      <c r="T16" t="s">
        <v>41</v>
      </c>
      <c r="U16">
        <v>2.7</v>
      </c>
    </row>
    <row r="17" spans="1:21" x14ac:dyDescent="0.3">
      <c r="A17">
        <v>16</v>
      </c>
      <c r="B17" t="s">
        <v>63</v>
      </c>
      <c r="C17">
        <v>29</v>
      </c>
      <c r="D17" t="s">
        <v>37</v>
      </c>
      <c r="E17" t="s">
        <v>48</v>
      </c>
      <c r="F17" t="s">
        <v>64</v>
      </c>
      <c r="G17">
        <v>2.4</v>
      </c>
      <c r="H17" t="s">
        <v>40</v>
      </c>
      <c r="I17">
        <v>37.5</v>
      </c>
      <c r="J17">
        <v>3.1</v>
      </c>
      <c r="K17" t="s">
        <v>44</v>
      </c>
      <c r="L17">
        <v>31</v>
      </c>
      <c r="M17" t="str" cm="1">
        <f t="array" ref="M17">_xlfn.IFS(Employee[[#This Row],[Burnout_Score]]&lt;=30,"Low", AND(Employee[[#This Row],[Burnout_Score]]&gt;30,Employee[[#This Row],[Burnout_Score]]&lt;=60),"Medium", Employee[[#This Row],[Burnout_Score]]&gt;60,"High")</f>
        <v>Medium</v>
      </c>
      <c r="N17">
        <v>7.3</v>
      </c>
      <c r="O17">
        <v>0</v>
      </c>
      <c r="P17">
        <v>7.1</v>
      </c>
      <c r="Q17" t="s">
        <v>150</v>
      </c>
      <c r="R17" t="s">
        <v>149</v>
      </c>
      <c r="S17">
        <v>4.7</v>
      </c>
      <c r="T17" t="s">
        <v>41</v>
      </c>
      <c r="U17">
        <v>2.5</v>
      </c>
    </row>
    <row r="18" spans="1:21" x14ac:dyDescent="0.3">
      <c r="A18">
        <v>17</v>
      </c>
      <c r="B18" t="s">
        <v>65</v>
      </c>
      <c r="C18">
        <v>45</v>
      </c>
      <c r="D18" t="s">
        <v>37</v>
      </c>
      <c r="E18" t="s">
        <v>48</v>
      </c>
      <c r="F18" t="s">
        <v>64</v>
      </c>
      <c r="G18">
        <v>6.8</v>
      </c>
      <c r="H18" t="s">
        <v>40</v>
      </c>
      <c r="I18">
        <v>42.4</v>
      </c>
      <c r="J18">
        <v>5.5</v>
      </c>
      <c r="K18" t="s">
        <v>44</v>
      </c>
      <c r="L18">
        <v>69</v>
      </c>
      <c r="M18" t="str" cm="1">
        <f t="array" ref="M18">_xlfn.IFS(Employee[[#This Row],[Burnout_Score]]&lt;=30,"Low", AND(Employee[[#This Row],[Burnout_Score]]&gt;30,Employee[[#This Row],[Burnout_Score]]&lt;=60),"Medium", Employee[[#This Row],[Burnout_Score]]&gt;60,"High")</f>
        <v>High</v>
      </c>
      <c r="N18">
        <v>7.9</v>
      </c>
      <c r="O18">
        <v>0</v>
      </c>
      <c r="P18">
        <v>6</v>
      </c>
      <c r="Q18" t="s">
        <v>149</v>
      </c>
      <c r="R18" t="s">
        <v>150</v>
      </c>
      <c r="S18">
        <v>3.9</v>
      </c>
      <c r="T18" t="s">
        <v>27</v>
      </c>
      <c r="U18">
        <v>4</v>
      </c>
    </row>
    <row r="19" spans="1:21" x14ac:dyDescent="0.3">
      <c r="A19">
        <v>18</v>
      </c>
      <c r="B19" t="s">
        <v>66</v>
      </c>
      <c r="C19">
        <v>24</v>
      </c>
      <c r="D19" t="s">
        <v>51</v>
      </c>
      <c r="E19" t="s">
        <v>48</v>
      </c>
      <c r="F19" t="s">
        <v>58</v>
      </c>
      <c r="G19">
        <v>4.5999999999999996</v>
      </c>
      <c r="H19" t="s">
        <v>40</v>
      </c>
      <c r="I19">
        <v>38.6</v>
      </c>
      <c r="J19">
        <v>7.1</v>
      </c>
      <c r="K19" t="s">
        <v>25</v>
      </c>
      <c r="L19">
        <v>73</v>
      </c>
      <c r="M19" t="str" cm="1">
        <f t="array" ref="M19">_xlfn.IFS(Employee[[#This Row],[Burnout_Score]]&lt;=30,"Low", AND(Employee[[#This Row],[Burnout_Score]]&gt;30,Employee[[#This Row],[Burnout_Score]]&lt;=60),"Medium", Employee[[#This Row],[Burnout_Score]]&gt;60,"High")</f>
        <v>High</v>
      </c>
      <c r="N19">
        <v>5.9</v>
      </c>
      <c r="O19">
        <v>3</v>
      </c>
      <c r="P19">
        <v>6.6</v>
      </c>
      <c r="Q19" t="s">
        <v>150</v>
      </c>
      <c r="R19" t="s">
        <v>150</v>
      </c>
      <c r="S19">
        <v>9.4</v>
      </c>
      <c r="T19" t="s">
        <v>35</v>
      </c>
      <c r="U19">
        <v>3.3</v>
      </c>
    </row>
    <row r="20" spans="1:21" x14ac:dyDescent="0.3">
      <c r="A20">
        <v>19</v>
      </c>
      <c r="B20" t="s">
        <v>67</v>
      </c>
      <c r="C20">
        <v>43</v>
      </c>
      <c r="D20" t="s">
        <v>37</v>
      </c>
      <c r="E20" t="s">
        <v>46</v>
      </c>
      <c r="F20" t="s">
        <v>64</v>
      </c>
      <c r="G20">
        <v>6.1</v>
      </c>
      <c r="H20" t="s">
        <v>32</v>
      </c>
      <c r="I20">
        <v>46.9</v>
      </c>
      <c r="J20">
        <v>5.7</v>
      </c>
      <c r="K20" t="s">
        <v>25</v>
      </c>
      <c r="L20">
        <v>81</v>
      </c>
      <c r="M20" t="str" cm="1">
        <f t="array" ref="M20">_xlfn.IFS(Employee[[#This Row],[Burnout_Score]]&lt;=30,"Low", AND(Employee[[#This Row],[Burnout_Score]]&gt;30,Employee[[#This Row],[Burnout_Score]]&lt;=60),"Medium", Employee[[#This Row],[Burnout_Score]]&gt;60,"High")</f>
        <v>High</v>
      </c>
      <c r="N20">
        <v>4.3</v>
      </c>
      <c r="O20">
        <v>2</v>
      </c>
      <c r="P20">
        <v>8.6999999999999993</v>
      </c>
      <c r="Q20" t="s">
        <v>149</v>
      </c>
      <c r="R20" t="s">
        <v>149</v>
      </c>
      <c r="S20">
        <v>2.8</v>
      </c>
      <c r="T20" t="s">
        <v>27</v>
      </c>
      <c r="U20">
        <v>9</v>
      </c>
    </row>
    <row r="21" spans="1:21" x14ac:dyDescent="0.3">
      <c r="A21">
        <v>20</v>
      </c>
      <c r="B21" t="s">
        <v>68</v>
      </c>
      <c r="C21">
        <v>42</v>
      </c>
      <c r="D21" t="s">
        <v>37</v>
      </c>
      <c r="E21" t="s">
        <v>46</v>
      </c>
      <c r="F21" t="s">
        <v>31</v>
      </c>
      <c r="G21">
        <v>10.199999999999999</v>
      </c>
      <c r="H21" t="s">
        <v>40</v>
      </c>
      <c r="I21">
        <v>41.3</v>
      </c>
      <c r="J21">
        <v>6.1</v>
      </c>
      <c r="K21" t="s">
        <v>33</v>
      </c>
      <c r="L21">
        <v>20</v>
      </c>
      <c r="M21" t="str" cm="1">
        <f t="array" ref="M21">_xlfn.IFS(Employee[[#This Row],[Burnout_Score]]&lt;=30,"Low", AND(Employee[[#This Row],[Burnout_Score]]&gt;30,Employee[[#This Row],[Burnout_Score]]&lt;=60),"Medium", Employee[[#This Row],[Burnout_Score]]&gt;60,"High")</f>
        <v>Low</v>
      </c>
      <c r="N21">
        <v>4.4000000000000004</v>
      </c>
      <c r="O21">
        <v>3</v>
      </c>
      <c r="P21">
        <v>5.2</v>
      </c>
      <c r="Q21" t="s">
        <v>150</v>
      </c>
      <c r="R21" t="s">
        <v>150</v>
      </c>
      <c r="S21">
        <v>7.6</v>
      </c>
      <c r="T21" t="s">
        <v>35</v>
      </c>
      <c r="U21">
        <v>3.8</v>
      </c>
    </row>
    <row r="22" spans="1:21" x14ac:dyDescent="0.3">
      <c r="A22">
        <v>21</v>
      </c>
      <c r="B22" t="s">
        <v>69</v>
      </c>
      <c r="C22">
        <v>23</v>
      </c>
      <c r="D22" t="s">
        <v>37</v>
      </c>
      <c r="E22" t="s">
        <v>38</v>
      </c>
      <c r="F22" t="s">
        <v>23</v>
      </c>
      <c r="G22">
        <v>8.1</v>
      </c>
      <c r="H22" t="s">
        <v>24</v>
      </c>
      <c r="I22">
        <v>37.9</v>
      </c>
      <c r="J22">
        <v>9.3000000000000007</v>
      </c>
      <c r="K22" t="s">
        <v>44</v>
      </c>
      <c r="L22">
        <v>23</v>
      </c>
      <c r="M22" t="str" cm="1">
        <f t="array" ref="M22">_xlfn.IFS(Employee[[#This Row],[Burnout_Score]]&lt;=30,"Low", AND(Employee[[#This Row],[Burnout_Score]]&gt;30,Employee[[#This Row],[Burnout_Score]]&lt;=60),"Medium", Employee[[#This Row],[Burnout_Score]]&gt;60,"High")</f>
        <v>Low</v>
      </c>
      <c r="N22">
        <v>4.5</v>
      </c>
      <c r="O22">
        <v>2</v>
      </c>
      <c r="P22">
        <v>8.1999999999999993</v>
      </c>
      <c r="Q22" t="s">
        <v>150</v>
      </c>
      <c r="R22" t="s">
        <v>149</v>
      </c>
      <c r="S22">
        <v>3.5</v>
      </c>
      <c r="T22" t="s">
        <v>41</v>
      </c>
      <c r="U22">
        <v>9.8000000000000007</v>
      </c>
    </row>
    <row r="23" spans="1:21" x14ac:dyDescent="0.3">
      <c r="A23">
        <v>22</v>
      </c>
      <c r="B23" t="s">
        <v>70</v>
      </c>
      <c r="C23">
        <v>45</v>
      </c>
      <c r="D23" t="s">
        <v>51</v>
      </c>
      <c r="E23" t="s">
        <v>52</v>
      </c>
      <c r="F23" t="s">
        <v>64</v>
      </c>
      <c r="G23">
        <v>8.5</v>
      </c>
      <c r="H23" t="s">
        <v>40</v>
      </c>
      <c r="I23">
        <v>40.4</v>
      </c>
      <c r="J23">
        <v>5.4</v>
      </c>
      <c r="K23" t="s">
        <v>33</v>
      </c>
      <c r="L23">
        <v>69</v>
      </c>
      <c r="M23" t="str" cm="1">
        <f t="array" ref="M23">_xlfn.IFS(Employee[[#This Row],[Burnout_Score]]&lt;=30,"Low", AND(Employee[[#This Row],[Burnout_Score]]&gt;30,Employee[[#This Row],[Burnout_Score]]&lt;=60),"Medium", Employee[[#This Row],[Burnout_Score]]&gt;60,"High")</f>
        <v>High</v>
      </c>
      <c r="N23">
        <v>8.1999999999999993</v>
      </c>
      <c r="O23">
        <v>1</v>
      </c>
      <c r="P23">
        <v>5.4</v>
      </c>
      <c r="Q23" t="s">
        <v>150</v>
      </c>
      <c r="R23" t="s">
        <v>150</v>
      </c>
      <c r="S23">
        <v>9.1</v>
      </c>
      <c r="T23" t="s">
        <v>27</v>
      </c>
      <c r="U23">
        <v>4.7</v>
      </c>
    </row>
    <row r="24" spans="1:21" x14ac:dyDescent="0.3">
      <c r="A24">
        <v>23</v>
      </c>
      <c r="B24" t="s">
        <v>71</v>
      </c>
      <c r="C24">
        <v>33</v>
      </c>
      <c r="D24" t="s">
        <v>37</v>
      </c>
      <c r="E24" t="s">
        <v>30</v>
      </c>
      <c r="F24" t="s">
        <v>64</v>
      </c>
      <c r="G24">
        <v>17</v>
      </c>
      <c r="H24" t="s">
        <v>40</v>
      </c>
      <c r="I24">
        <v>44.1</v>
      </c>
      <c r="J24">
        <v>6.6</v>
      </c>
      <c r="K24" t="s">
        <v>33</v>
      </c>
      <c r="L24">
        <v>39</v>
      </c>
      <c r="M24" t="str" cm="1">
        <f t="array" ref="M24">_xlfn.IFS(Employee[[#This Row],[Burnout_Score]]&lt;=30,"Low", AND(Employee[[#This Row],[Burnout_Score]]&gt;30,Employee[[#This Row],[Burnout_Score]]&lt;=60),"Medium", Employee[[#This Row],[Burnout_Score]]&gt;60,"High")</f>
        <v>Medium</v>
      </c>
      <c r="N24">
        <v>8.6</v>
      </c>
      <c r="O24">
        <v>1</v>
      </c>
      <c r="P24">
        <v>4.8</v>
      </c>
      <c r="Q24" t="s">
        <v>150</v>
      </c>
      <c r="R24" t="s">
        <v>149</v>
      </c>
      <c r="S24">
        <v>9.6999999999999993</v>
      </c>
      <c r="T24" t="s">
        <v>27</v>
      </c>
      <c r="U24">
        <v>3.5</v>
      </c>
    </row>
    <row r="25" spans="1:21" x14ac:dyDescent="0.3">
      <c r="A25">
        <v>24</v>
      </c>
      <c r="B25" t="s">
        <v>72</v>
      </c>
      <c r="C25">
        <v>27</v>
      </c>
      <c r="D25" t="s">
        <v>29</v>
      </c>
      <c r="E25" t="s">
        <v>48</v>
      </c>
      <c r="F25" t="s">
        <v>58</v>
      </c>
      <c r="G25">
        <v>18.7</v>
      </c>
      <c r="H25" t="s">
        <v>24</v>
      </c>
      <c r="I25">
        <v>39.200000000000003</v>
      </c>
      <c r="J25">
        <v>8.5</v>
      </c>
      <c r="K25" t="s">
        <v>33</v>
      </c>
      <c r="L25">
        <v>44</v>
      </c>
      <c r="M25" t="str" cm="1">
        <f t="array" ref="M25">_xlfn.IFS(Employee[[#This Row],[Burnout_Score]]&lt;=30,"Low", AND(Employee[[#This Row],[Burnout_Score]]&gt;30,Employee[[#This Row],[Burnout_Score]]&lt;=60),"Medium", Employee[[#This Row],[Burnout_Score]]&gt;60,"High")</f>
        <v>Medium</v>
      </c>
      <c r="N25">
        <v>4.5999999999999996</v>
      </c>
      <c r="O25">
        <v>0</v>
      </c>
      <c r="P25">
        <v>9.6999999999999993</v>
      </c>
      <c r="Q25" t="s">
        <v>149</v>
      </c>
      <c r="R25" t="s">
        <v>149</v>
      </c>
      <c r="S25">
        <v>5.7</v>
      </c>
      <c r="T25" t="s">
        <v>35</v>
      </c>
      <c r="U25">
        <v>8.3000000000000007</v>
      </c>
    </row>
    <row r="26" spans="1:21" x14ac:dyDescent="0.3">
      <c r="A26">
        <v>25</v>
      </c>
      <c r="B26" t="s">
        <v>73</v>
      </c>
      <c r="C26">
        <v>23</v>
      </c>
      <c r="D26" t="s">
        <v>37</v>
      </c>
      <c r="E26" t="s">
        <v>57</v>
      </c>
      <c r="F26" t="s">
        <v>39</v>
      </c>
      <c r="G26">
        <v>2.2999999999999998</v>
      </c>
      <c r="H26" t="s">
        <v>40</v>
      </c>
      <c r="I26">
        <v>37.9</v>
      </c>
      <c r="J26">
        <v>5.8</v>
      </c>
      <c r="K26" t="s">
        <v>33</v>
      </c>
      <c r="L26">
        <v>46</v>
      </c>
      <c r="M26" t="str" cm="1">
        <f t="array" ref="M26">_xlfn.IFS(Employee[[#This Row],[Burnout_Score]]&lt;=30,"Low", AND(Employee[[#This Row],[Burnout_Score]]&gt;30,Employee[[#This Row],[Burnout_Score]]&lt;=60),"Medium", Employee[[#This Row],[Burnout_Score]]&gt;60,"High")</f>
        <v>Medium</v>
      </c>
      <c r="N26">
        <v>5.2</v>
      </c>
      <c r="O26">
        <v>2</v>
      </c>
      <c r="P26">
        <v>3.5</v>
      </c>
      <c r="Q26" t="s">
        <v>149</v>
      </c>
      <c r="R26" t="s">
        <v>150</v>
      </c>
      <c r="S26">
        <v>9</v>
      </c>
      <c r="T26" t="s">
        <v>41</v>
      </c>
      <c r="U26">
        <v>7.3</v>
      </c>
    </row>
    <row r="27" spans="1:21" x14ac:dyDescent="0.3">
      <c r="A27">
        <v>26</v>
      </c>
      <c r="B27" t="s">
        <v>74</v>
      </c>
      <c r="C27">
        <v>49</v>
      </c>
      <c r="D27" t="s">
        <v>29</v>
      </c>
      <c r="E27" t="s">
        <v>30</v>
      </c>
      <c r="F27" t="s">
        <v>58</v>
      </c>
      <c r="G27">
        <v>5</v>
      </c>
      <c r="H27" t="s">
        <v>32</v>
      </c>
      <c r="I27">
        <v>43.2</v>
      </c>
      <c r="J27">
        <v>7.4</v>
      </c>
      <c r="K27" t="s">
        <v>44</v>
      </c>
      <c r="L27">
        <v>14</v>
      </c>
      <c r="M27" t="str" cm="1">
        <f t="array" ref="M27">_xlfn.IFS(Employee[[#This Row],[Burnout_Score]]&lt;=30,"Low", AND(Employee[[#This Row],[Burnout_Score]]&gt;30,Employee[[#This Row],[Burnout_Score]]&lt;=60),"Medium", Employee[[#This Row],[Burnout_Score]]&gt;60,"High")</f>
        <v>Low</v>
      </c>
      <c r="N27">
        <v>4.8</v>
      </c>
      <c r="O27">
        <v>1</v>
      </c>
      <c r="P27">
        <v>2.7</v>
      </c>
      <c r="Q27" t="s">
        <v>150</v>
      </c>
      <c r="R27" t="s">
        <v>149</v>
      </c>
      <c r="S27">
        <v>2</v>
      </c>
      <c r="T27" t="s">
        <v>27</v>
      </c>
      <c r="U27">
        <v>6</v>
      </c>
    </row>
    <row r="28" spans="1:21" x14ac:dyDescent="0.3">
      <c r="A28">
        <v>27</v>
      </c>
      <c r="B28" t="s">
        <v>75</v>
      </c>
      <c r="C28">
        <v>42</v>
      </c>
      <c r="D28" t="s">
        <v>29</v>
      </c>
      <c r="E28" t="s">
        <v>46</v>
      </c>
      <c r="F28" t="s">
        <v>31</v>
      </c>
      <c r="G28">
        <v>13.8</v>
      </c>
      <c r="H28" t="s">
        <v>32</v>
      </c>
      <c r="I28">
        <v>43.2</v>
      </c>
      <c r="J28">
        <v>9</v>
      </c>
      <c r="K28" t="s">
        <v>33</v>
      </c>
      <c r="L28">
        <v>87</v>
      </c>
      <c r="M28" t="str" cm="1">
        <f t="array" ref="M28">_xlfn.IFS(Employee[[#This Row],[Burnout_Score]]&lt;=30,"Low", AND(Employee[[#This Row],[Burnout_Score]]&gt;30,Employee[[#This Row],[Burnout_Score]]&lt;=60),"Medium", Employee[[#This Row],[Burnout_Score]]&gt;60,"High")</f>
        <v>High</v>
      </c>
      <c r="N28">
        <v>4.9000000000000004</v>
      </c>
      <c r="O28">
        <v>2</v>
      </c>
      <c r="P28">
        <v>8.1999999999999993</v>
      </c>
      <c r="Q28" t="s">
        <v>150</v>
      </c>
      <c r="R28" t="s">
        <v>150</v>
      </c>
      <c r="S28">
        <v>8.6</v>
      </c>
      <c r="T28" t="s">
        <v>41</v>
      </c>
      <c r="U28">
        <v>6.4</v>
      </c>
    </row>
    <row r="29" spans="1:21" x14ac:dyDescent="0.3">
      <c r="A29">
        <v>28</v>
      </c>
      <c r="B29" t="s">
        <v>76</v>
      </c>
      <c r="C29">
        <v>22</v>
      </c>
      <c r="D29" t="s">
        <v>29</v>
      </c>
      <c r="E29" t="s">
        <v>57</v>
      </c>
      <c r="F29" t="s">
        <v>23</v>
      </c>
      <c r="G29">
        <v>7.8</v>
      </c>
      <c r="H29" t="s">
        <v>32</v>
      </c>
      <c r="I29">
        <v>39.5</v>
      </c>
      <c r="J29">
        <v>9.6</v>
      </c>
      <c r="K29" t="s">
        <v>44</v>
      </c>
      <c r="L29">
        <v>35</v>
      </c>
      <c r="M29" t="str" cm="1">
        <f t="array" ref="M29">_xlfn.IFS(Employee[[#This Row],[Burnout_Score]]&lt;=30,"Low", AND(Employee[[#This Row],[Burnout_Score]]&gt;30,Employee[[#This Row],[Burnout_Score]]&lt;=60),"Medium", Employee[[#This Row],[Burnout_Score]]&gt;60,"High")</f>
        <v>Medium</v>
      </c>
      <c r="N29">
        <v>8.1999999999999993</v>
      </c>
      <c r="O29">
        <v>1</v>
      </c>
      <c r="P29">
        <v>2.5</v>
      </c>
      <c r="Q29" t="s">
        <v>150</v>
      </c>
      <c r="R29" t="s">
        <v>150</v>
      </c>
      <c r="S29">
        <v>3.8</v>
      </c>
      <c r="T29" t="s">
        <v>27</v>
      </c>
      <c r="U29">
        <v>7.8</v>
      </c>
    </row>
    <row r="30" spans="1:21" x14ac:dyDescent="0.3">
      <c r="A30">
        <v>29</v>
      </c>
      <c r="B30" t="s">
        <v>77</v>
      </c>
      <c r="C30">
        <v>33</v>
      </c>
      <c r="D30" t="s">
        <v>51</v>
      </c>
      <c r="E30" t="s">
        <v>57</v>
      </c>
      <c r="F30" t="s">
        <v>58</v>
      </c>
      <c r="G30">
        <v>5.8</v>
      </c>
      <c r="H30" t="s">
        <v>24</v>
      </c>
      <c r="I30">
        <v>39.6</v>
      </c>
      <c r="J30">
        <v>4</v>
      </c>
      <c r="K30" t="s">
        <v>44</v>
      </c>
      <c r="L30">
        <v>71</v>
      </c>
      <c r="M30" t="str" cm="1">
        <f t="array" ref="M30">_xlfn.IFS(Employee[[#This Row],[Burnout_Score]]&lt;=30,"Low", AND(Employee[[#This Row],[Burnout_Score]]&gt;30,Employee[[#This Row],[Burnout_Score]]&lt;=60),"Medium", Employee[[#This Row],[Burnout_Score]]&gt;60,"High")</f>
        <v>High</v>
      </c>
      <c r="N30">
        <v>5.7</v>
      </c>
      <c r="O30">
        <v>3</v>
      </c>
      <c r="P30">
        <v>8.6999999999999993</v>
      </c>
      <c r="Q30" t="s">
        <v>149</v>
      </c>
      <c r="R30" t="s">
        <v>149</v>
      </c>
      <c r="S30">
        <v>9.3000000000000007</v>
      </c>
      <c r="T30" t="s">
        <v>41</v>
      </c>
      <c r="U30">
        <v>3.8</v>
      </c>
    </row>
    <row r="31" spans="1:21" x14ac:dyDescent="0.3">
      <c r="A31">
        <v>30</v>
      </c>
      <c r="B31" t="s">
        <v>78</v>
      </c>
      <c r="C31">
        <v>47</v>
      </c>
      <c r="D31" t="s">
        <v>51</v>
      </c>
      <c r="E31" t="s">
        <v>57</v>
      </c>
      <c r="F31" t="s">
        <v>64</v>
      </c>
      <c r="G31">
        <v>6.6</v>
      </c>
      <c r="H31" t="s">
        <v>40</v>
      </c>
      <c r="I31">
        <v>43.2</v>
      </c>
      <c r="J31">
        <v>9.5</v>
      </c>
      <c r="K31" t="s">
        <v>25</v>
      </c>
      <c r="L31">
        <v>13</v>
      </c>
      <c r="M31" t="str" cm="1">
        <f t="array" ref="M31">_xlfn.IFS(Employee[[#This Row],[Burnout_Score]]&lt;=30,"Low", AND(Employee[[#This Row],[Burnout_Score]]&gt;30,Employee[[#This Row],[Burnout_Score]]&lt;=60),"Medium", Employee[[#This Row],[Burnout_Score]]&gt;60,"High")</f>
        <v>Low</v>
      </c>
      <c r="N31">
        <v>5.6</v>
      </c>
      <c r="O31">
        <v>1</v>
      </c>
      <c r="P31">
        <v>5.5</v>
      </c>
      <c r="Q31" t="s">
        <v>149</v>
      </c>
      <c r="R31" t="s">
        <v>149</v>
      </c>
      <c r="S31">
        <v>2</v>
      </c>
      <c r="T31" t="s">
        <v>35</v>
      </c>
      <c r="U31">
        <v>10</v>
      </c>
    </row>
    <row r="32" spans="1:21" x14ac:dyDescent="0.3">
      <c r="A32">
        <v>31</v>
      </c>
      <c r="B32" t="s">
        <v>79</v>
      </c>
      <c r="C32">
        <v>43</v>
      </c>
      <c r="D32" t="s">
        <v>51</v>
      </c>
      <c r="E32" t="s">
        <v>38</v>
      </c>
      <c r="F32" t="s">
        <v>23</v>
      </c>
      <c r="G32">
        <v>7.1</v>
      </c>
      <c r="H32" t="s">
        <v>32</v>
      </c>
      <c r="I32">
        <v>34.799999999999997</v>
      </c>
      <c r="J32">
        <v>6.4</v>
      </c>
      <c r="K32" t="s">
        <v>44</v>
      </c>
      <c r="L32">
        <v>51</v>
      </c>
      <c r="M32" t="str" cm="1">
        <f t="array" ref="M32">_xlfn.IFS(Employee[[#This Row],[Burnout_Score]]&lt;=30,"Low", AND(Employee[[#This Row],[Burnout_Score]]&gt;30,Employee[[#This Row],[Burnout_Score]]&lt;=60),"Medium", Employee[[#This Row],[Burnout_Score]]&gt;60,"High")</f>
        <v>Medium</v>
      </c>
      <c r="N32">
        <v>5.0999999999999996</v>
      </c>
      <c r="O32">
        <v>3</v>
      </c>
      <c r="P32">
        <v>9.3000000000000007</v>
      </c>
      <c r="Q32" t="s">
        <v>149</v>
      </c>
      <c r="R32" t="s">
        <v>150</v>
      </c>
      <c r="S32">
        <v>6.4</v>
      </c>
      <c r="T32" t="s">
        <v>27</v>
      </c>
      <c r="U32">
        <v>9.8000000000000007</v>
      </c>
    </row>
    <row r="33" spans="1:21" x14ac:dyDescent="0.3">
      <c r="A33">
        <v>32</v>
      </c>
      <c r="B33" t="s">
        <v>80</v>
      </c>
      <c r="C33">
        <v>33</v>
      </c>
      <c r="D33" t="s">
        <v>37</v>
      </c>
      <c r="E33" t="s">
        <v>46</v>
      </c>
      <c r="F33" t="s">
        <v>23</v>
      </c>
      <c r="G33">
        <v>17.100000000000001</v>
      </c>
      <c r="H33" t="s">
        <v>24</v>
      </c>
      <c r="I33">
        <v>35</v>
      </c>
      <c r="J33">
        <v>4.8</v>
      </c>
      <c r="K33" t="s">
        <v>25</v>
      </c>
      <c r="L33">
        <v>27</v>
      </c>
      <c r="M33" t="str" cm="1">
        <f t="array" ref="M33">_xlfn.IFS(Employee[[#This Row],[Burnout_Score]]&lt;=30,"Low", AND(Employee[[#This Row],[Burnout_Score]]&gt;30,Employee[[#This Row],[Burnout_Score]]&lt;=60),"Medium", Employee[[#This Row],[Burnout_Score]]&gt;60,"High")</f>
        <v>Low</v>
      </c>
      <c r="N33">
        <v>7</v>
      </c>
      <c r="O33">
        <v>1</v>
      </c>
      <c r="P33">
        <v>7.8</v>
      </c>
      <c r="Q33" t="s">
        <v>149</v>
      </c>
      <c r="R33" t="s">
        <v>149</v>
      </c>
      <c r="S33">
        <v>8.1</v>
      </c>
      <c r="T33" t="s">
        <v>27</v>
      </c>
      <c r="U33">
        <v>7.2</v>
      </c>
    </row>
    <row r="34" spans="1:21" x14ac:dyDescent="0.3">
      <c r="A34">
        <v>33</v>
      </c>
      <c r="B34" t="s">
        <v>81</v>
      </c>
      <c r="C34">
        <v>46</v>
      </c>
      <c r="D34" t="s">
        <v>29</v>
      </c>
      <c r="E34" t="s">
        <v>57</v>
      </c>
      <c r="F34" t="s">
        <v>64</v>
      </c>
      <c r="G34">
        <v>3.6</v>
      </c>
      <c r="H34" t="s">
        <v>40</v>
      </c>
      <c r="I34">
        <v>38.4</v>
      </c>
      <c r="J34">
        <v>6.2</v>
      </c>
      <c r="K34" t="s">
        <v>44</v>
      </c>
      <c r="L34">
        <v>49</v>
      </c>
      <c r="M34" t="str" cm="1">
        <f t="array" ref="M34">_xlfn.IFS(Employee[[#This Row],[Burnout_Score]]&lt;=30,"Low", AND(Employee[[#This Row],[Burnout_Score]]&gt;30,Employee[[#This Row],[Burnout_Score]]&lt;=60),"Medium", Employee[[#This Row],[Burnout_Score]]&gt;60,"High")</f>
        <v>Medium</v>
      </c>
      <c r="N34">
        <v>5.9</v>
      </c>
      <c r="O34">
        <v>0</v>
      </c>
      <c r="P34">
        <v>6.9</v>
      </c>
      <c r="Q34" t="s">
        <v>150</v>
      </c>
      <c r="R34" t="s">
        <v>149</v>
      </c>
      <c r="S34">
        <v>4.0999999999999996</v>
      </c>
      <c r="T34" t="s">
        <v>41</v>
      </c>
      <c r="U34">
        <v>3.6</v>
      </c>
    </row>
    <row r="35" spans="1:21" x14ac:dyDescent="0.3">
      <c r="A35">
        <v>34</v>
      </c>
      <c r="B35" t="s">
        <v>82</v>
      </c>
      <c r="C35">
        <v>38</v>
      </c>
      <c r="D35" t="s">
        <v>51</v>
      </c>
      <c r="E35" t="s">
        <v>48</v>
      </c>
      <c r="F35" t="s">
        <v>58</v>
      </c>
      <c r="G35">
        <v>14.5</v>
      </c>
      <c r="H35" t="s">
        <v>24</v>
      </c>
      <c r="I35">
        <v>40.9</v>
      </c>
      <c r="J35">
        <v>9.9</v>
      </c>
      <c r="K35" t="s">
        <v>44</v>
      </c>
      <c r="L35">
        <v>81</v>
      </c>
      <c r="M35" t="str" cm="1">
        <f t="array" ref="M35">_xlfn.IFS(Employee[[#This Row],[Burnout_Score]]&lt;=30,"Low", AND(Employee[[#This Row],[Burnout_Score]]&gt;30,Employee[[#This Row],[Burnout_Score]]&lt;=60),"Medium", Employee[[#This Row],[Burnout_Score]]&gt;60,"High")</f>
        <v>High</v>
      </c>
      <c r="N35">
        <v>7.7</v>
      </c>
      <c r="O35">
        <v>3</v>
      </c>
      <c r="P35">
        <v>9.6</v>
      </c>
      <c r="Q35" t="s">
        <v>150</v>
      </c>
      <c r="R35" t="s">
        <v>149</v>
      </c>
      <c r="S35">
        <v>3.5</v>
      </c>
      <c r="T35" t="s">
        <v>41</v>
      </c>
      <c r="U35">
        <v>7.4</v>
      </c>
    </row>
    <row r="36" spans="1:21" x14ac:dyDescent="0.3">
      <c r="A36">
        <v>35</v>
      </c>
      <c r="B36" t="s">
        <v>83</v>
      </c>
      <c r="C36">
        <v>48</v>
      </c>
      <c r="D36" t="s">
        <v>51</v>
      </c>
      <c r="E36" t="s">
        <v>22</v>
      </c>
      <c r="F36" t="s">
        <v>64</v>
      </c>
      <c r="G36">
        <v>11.5</v>
      </c>
      <c r="H36" t="s">
        <v>32</v>
      </c>
      <c r="I36">
        <v>43.6</v>
      </c>
      <c r="J36">
        <v>6.4</v>
      </c>
      <c r="K36" t="s">
        <v>44</v>
      </c>
      <c r="L36">
        <v>48</v>
      </c>
      <c r="M36" t="str" cm="1">
        <f t="array" ref="M36">_xlfn.IFS(Employee[[#This Row],[Burnout_Score]]&lt;=30,"Low", AND(Employee[[#This Row],[Burnout_Score]]&gt;30,Employee[[#This Row],[Burnout_Score]]&lt;=60),"Medium", Employee[[#This Row],[Burnout_Score]]&gt;60,"High")</f>
        <v>Medium</v>
      </c>
      <c r="N36">
        <v>5</v>
      </c>
      <c r="O36">
        <v>1</v>
      </c>
      <c r="P36">
        <v>5.2</v>
      </c>
      <c r="Q36" t="s">
        <v>150</v>
      </c>
      <c r="R36" t="s">
        <v>149</v>
      </c>
      <c r="S36">
        <v>2.7</v>
      </c>
      <c r="T36" t="s">
        <v>27</v>
      </c>
      <c r="U36">
        <v>2.6</v>
      </c>
    </row>
    <row r="37" spans="1:21" x14ac:dyDescent="0.3">
      <c r="A37">
        <v>36</v>
      </c>
      <c r="B37" t="s">
        <v>84</v>
      </c>
      <c r="C37">
        <v>48</v>
      </c>
      <c r="D37" t="s">
        <v>37</v>
      </c>
      <c r="E37" t="s">
        <v>57</v>
      </c>
      <c r="F37" t="s">
        <v>39</v>
      </c>
      <c r="G37">
        <v>6.6</v>
      </c>
      <c r="H37" t="s">
        <v>32</v>
      </c>
      <c r="I37">
        <v>49.4</v>
      </c>
      <c r="J37">
        <v>5.3</v>
      </c>
      <c r="K37" t="s">
        <v>25</v>
      </c>
      <c r="L37">
        <v>23</v>
      </c>
      <c r="M37" t="str" cm="1">
        <f t="array" ref="M37">_xlfn.IFS(Employee[[#This Row],[Burnout_Score]]&lt;=30,"Low", AND(Employee[[#This Row],[Burnout_Score]]&gt;30,Employee[[#This Row],[Burnout_Score]]&lt;=60),"Medium", Employee[[#This Row],[Burnout_Score]]&gt;60,"High")</f>
        <v>Low</v>
      </c>
      <c r="N37">
        <v>7.9</v>
      </c>
      <c r="O37">
        <v>0</v>
      </c>
      <c r="P37">
        <v>9.6</v>
      </c>
      <c r="Q37" t="s">
        <v>149</v>
      </c>
      <c r="R37" t="s">
        <v>149</v>
      </c>
      <c r="S37">
        <v>4.5999999999999996</v>
      </c>
      <c r="T37" t="s">
        <v>35</v>
      </c>
      <c r="U37">
        <v>2.2000000000000002</v>
      </c>
    </row>
    <row r="38" spans="1:21" x14ac:dyDescent="0.3">
      <c r="A38">
        <v>37</v>
      </c>
      <c r="B38" t="s">
        <v>85</v>
      </c>
      <c r="C38">
        <v>31</v>
      </c>
      <c r="D38" t="s">
        <v>51</v>
      </c>
      <c r="E38" t="s">
        <v>38</v>
      </c>
      <c r="F38" t="s">
        <v>23</v>
      </c>
      <c r="G38">
        <v>9</v>
      </c>
      <c r="H38" t="s">
        <v>32</v>
      </c>
      <c r="I38">
        <v>46.3</v>
      </c>
      <c r="J38">
        <v>7.4</v>
      </c>
      <c r="K38" t="s">
        <v>25</v>
      </c>
      <c r="L38">
        <v>41</v>
      </c>
      <c r="M38" t="str" cm="1">
        <f t="array" ref="M38">_xlfn.IFS(Employee[[#This Row],[Burnout_Score]]&lt;=30,"Low", AND(Employee[[#This Row],[Burnout_Score]]&gt;30,Employee[[#This Row],[Burnout_Score]]&lt;=60),"Medium", Employee[[#This Row],[Burnout_Score]]&gt;60,"High")</f>
        <v>Medium</v>
      </c>
      <c r="N38">
        <v>7</v>
      </c>
      <c r="O38">
        <v>3</v>
      </c>
      <c r="P38">
        <v>3.1</v>
      </c>
      <c r="Q38" t="s">
        <v>149</v>
      </c>
      <c r="R38" t="s">
        <v>150</v>
      </c>
      <c r="S38">
        <v>6.5</v>
      </c>
      <c r="T38" t="s">
        <v>41</v>
      </c>
      <c r="U38">
        <v>4.0999999999999996</v>
      </c>
    </row>
    <row r="39" spans="1:21" x14ac:dyDescent="0.3">
      <c r="A39">
        <v>38</v>
      </c>
      <c r="B39" t="s">
        <v>86</v>
      </c>
      <c r="C39">
        <v>49</v>
      </c>
      <c r="D39" t="s">
        <v>37</v>
      </c>
      <c r="E39" t="s">
        <v>30</v>
      </c>
      <c r="F39" t="s">
        <v>43</v>
      </c>
      <c r="G39">
        <v>5.9</v>
      </c>
      <c r="H39" t="s">
        <v>24</v>
      </c>
      <c r="I39">
        <v>41.2</v>
      </c>
      <c r="J39">
        <v>4.7</v>
      </c>
      <c r="K39" t="s">
        <v>33</v>
      </c>
      <c r="L39">
        <v>60</v>
      </c>
      <c r="M39" t="str" cm="1">
        <f t="array" ref="M39">_xlfn.IFS(Employee[[#This Row],[Burnout_Score]]&lt;=30,"Low", AND(Employee[[#This Row],[Burnout_Score]]&gt;30,Employee[[#This Row],[Burnout_Score]]&lt;=60),"Medium", Employee[[#This Row],[Burnout_Score]]&gt;60,"High")</f>
        <v>Medium</v>
      </c>
      <c r="N39">
        <v>4.5999999999999996</v>
      </c>
      <c r="O39">
        <v>0</v>
      </c>
      <c r="P39">
        <v>5.9</v>
      </c>
      <c r="Q39" t="s">
        <v>149</v>
      </c>
      <c r="R39" t="s">
        <v>150</v>
      </c>
      <c r="S39">
        <v>2.9</v>
      </c>
      <c r="T39" t="s">
        <v>41</v>
      </c>
      <c r="U39">
        <v>5.7</v>
      </c>
    </row>
    <row r="40" spans="1:21" x14ac:dyDescent="0.3">
      <c r="A40">
        <v>39</v>
      </c>
      <c r="B40" t="s">
        <v>87</v>
      </c>
      <c r="C40">
        <v>49</v>
      </c>
      <c r="D40" t="s">
        <v>21</v>
      </c>
      <c r="E40" t="s">
        <v>46</v>
      </c>
      <c r="F40" t="s">
        <v>43</v>
      </c>
      <c r="G40">
        <v>12.6</v>
      </c>
      <c r="H40" t="s">
        <v>24</v>
      </c>
      <c r="I40">
        <v>41.9</v>
      </c>
      <c r="J40">
        <v>3.5</v>
      </c>
      <c r="K40" t="s">
        <v>25</v>
      </c>
      <c r="L40">
        <v>47</v>
      </c>
      <c r="M40" t="str" cm="1">
        <f t="array" ref="M40">_xlfn.IFS(Employee[[#This Row],[Burnout_Score]]&lt;=30,"Low", AND(Employee[[#This Row],[Burnout_Score]]&gt;30,Employee[[#This Row],[Burnout_Score]]&lt;=60),"Medium", Employee[[#This Row],[Burnout_Score]]&gt;60,"High")</f>
        <v>Medium</v>
      </c>
      <c r="N40">
        <v>6.1</v>
      </c>
      <c r="O40">
        <v>2</v>
      </c>
      <c r="P40">
        <v>4.2</v>
      </c>
      <c r="Q40" t="s">
        <v>150</v>
      </c>
      <c r="R40" t="s">
        <v>149</v>
      </c>
      <c r="S40">
        <v>5</v>
      </c>
      <c r="T40" t="s">
        <v>41</v>
      </c>
      <c r="U40">
        <v>8.9</v>
      </c>
    </row>
    <row r="41" spans="1:21" x14ac:dyDescent="0.3">
      <c r="A41">
        <v>40</v>
      </c>
      <c r="B41" t="s">
        <v>88</v>
      </c>
      <c r="C41">
        <v>37</v>
      </c>
      <c r="D41" t="s">
        <v>51</v>
      </c>
      <c r="E41" t="s">
        <v>38</v>
      </c>
      <c r="F41" t="s">
        <v>31</v>
      </c>
      <c r="G41">
        <v>2.6</v>
      </c>
      <c r="H41" t="s">
        <v>32</v>
      </c>
      <c r="I41">
        <v>37</v>
      </c>
      <c r="J41">
        <v>3.9</v>
      </c>
      <c r="K41" t="s">
        <v>25</v>
      </c>
      <c r="L41">
        <v>32</v>
      </c>
      <c r="M41" t="str" cm="1">
        <f t="array" ref="M41">_xlfn.IFS(Employee[[#This Row],[Burnout_Score]]&lt;=30,"Low", AND(Employee[[#This Row],[Burnout_Score]]&gt;30,Employee[[#This Row],[Burnout_Score]]&lt;=60),"Medium", Employee[[#This Row],[Burnout_Score]]&gt;60,"High")</f>
        <v>Medium</v>
      </c>
      <c r="N41">
        <v>8.3000000000000007</v>
      </c>
      <c r="O41">
        <v>2</v>
      </c>
      <c r="P41">
        <v>6.3</v>
      </c>
      <c r="Q41" t="s">
        <v>150</v>
      </c>
      <c r="R41" t="s">
        <v>149</v>
      </c>
      <c r="S41">
        <v>2.1</v>
      </c>
      <c r="T41" t="s">
        <v>27</v>
      </c>
      <c r="U41">
        <v>7.8</v>
      </c>
    </row>
    <row r="42" spans="1:21" x14ac:dyDescent="0.3">
      <c r="A42">
        <v>41</v>
      </c>
      <c r="B42" t="s">
        <v>89</v>
      </c>
      <c r="C42">
        <v>36</v>
      </c>
      <c r="D42" t="s">
        <v>21</v>
      </c>
      <c r="E42" t="s">
        <v>57</v>
      </c>
      <c r="F42" t="s">
        <v>64</v>
      </c>
      <c r="G42">
        <v>1.1000000000000001</v>
      </c>
      <c r="H42" t="s">
        <v>24</v>
      </c>
      <c r="I42">
        <v>41.9</v>
      </c>
      <c r="J42">
        <v>3.9</v>
      </c>
      <c r="K42" t="s">
        <v>25</v>
      </c>
      <c r="L42">
        <v>72</v>
      </c>
      <c r="M42" t="str" cm="1">
        <f t="array" ref="M42">_xlfn.IFS(Employee[[#This Row],[Burnout_Score]]&lt;=30,"Low", AND(Employee[[#This Row],[Burnout_Score]]&gt;30,Employee[[#This Row],[Burnout_Score]]&lt;=60),"Medium", Employee[[#This Row],[Burnout_Score]]&gt;60,"High")</f>
        <v>High</v>
      </c>
      <c r="N42">
        <v>8.6</v>
      </c>
      <c r="O42">
        <v>3</v>
      </c>
      <c r="P42">
        <v>3.3</v>
      </c>
      <c r="Q42" t="s">
        <v>149</v>
      </c>
      <c r="R42" t="s">
        <v>149</v>
      </c>
      <c r="S42">
        <v>8.5</v>
      </c>
      <c r="T42" t="s">
        <v>27</v>
      </c>
      <c r="U42">
        <v>7.9</v>
      </c>
    </row>
    <row r="43" spans="1:21" x14ac:dyDescent="0.3">
      <c r="A43">
        <v>42</v>
      </c>
      <c r="B43" t="s">
        <v>90</v>
      </c>
      <c r="C43">
        <v>36</v>
      </c>
      <c r="D43" t="s">
        <v>37</v>
      </c>
      <c r="E43" t="s">
        <v>46</v>
      </c>
      <c r="F43" t="s">
        <v>64</v>
      </c>
      <c r="G43">
        <v>12.9</v>
      </c>
      <c r="H43" t="s">
        <v>32</v>
      </c>
      <c r="I43">
        <v>40.6</v>
      </c>
      <c r="J43">
        <v>4.0999999999999996</v>
      </c>
      <c r="K43" t="s">
        <v>25</v>
      </c>
      <c r="L43">
        <v>24</v>
      </c>
      <c r="M43" t="str" cm="1">
        <f t="array" ref="M43">_xlfn.IFS(Employee[[#This Row],[Burnout_Score]]&lt;=30,"Low", AND(Employee[[#This Row],[Burnout_Score]]&gt;30,Employee[[#This Row],[Burnout_Score]]&lt;=60),"Medium", Employee[[#This Row],[Burnout_Score]]&gt;60,"High")</f>
        <v>Low</v>
      </c>
      <c r="N43">
        <v>6.3</v>
      </c>
      <c r="O43">
        <v>1</v>
      </c>
      <c r="P43">
        <v>8.6999999999999993</v>
      </c>
      <c r="Q43" t="s">
        <v>150</v>
      </c>
      <c r="R43" t="s">
        <v>150</v>
      </c>
      <c r="S43">
        <v>3</v>
      </c>
      <c r="T43" t="s">
        <v>27</v>
      </c>
      <c r="U43">
        <v>5.4</v>
      </c>
    </row>
    <row r="44" spans="1:21" x14ac:dyDescent="0.3">
      <c r="A44">
        <v>43</v>
      </c>
      <c r="B44" t="s">
        <v>91</v>
      </c>
      <c r="C44">
        <v>40</v>
      </c>
      <c r="D44" t="s">
        <v>29</v>
      </c>
      <c r="E44" t="s">
        <v>22</v>
      </c>
      <c r="F44" t="s">
        <v>31</v>
      </c>
      <c r="G44">
        <v>4.7</v>
      </c>
      <c r="H44" t="s">
        <v>32</v>
      </c>
      <c r="I44">
        <v>43.6</v>
      </c>
      <c r="J44">
        <v>4</v>
      </c>
      <c r="K44" t="s">
        <v>33</v>
      </c>
      <c r="L44">
        <v>34</v>
      </c>
      <c r="M44" t="str" cm="1">
        <f t="array" ref="M44">_xlfn.IFS(Employee[[#This Row],[Burnout_Score]]&lt;=30,"Low", AND(Employee[[#This Row],[Burnout_Score]]&gt;30,Employee[[#This Row],[Burnout_Score]]&lt;=60),"Medium", Employee[[#This Row],[Burnout_Score]]&gt;60,"High")</f>
        <v>Medium</v>
      </c>
      <c r="N44">
        <v>6.4</v>
      </c>
      <c r="O44">
        <v>3</v>
      </c>
      <c r="P44">
        <v>8.8000000000000007</v>
      </c>
      <c r="Q44" t="s">
        <v>149</v>
      </c>
      <c r="R44" t="s">
        <v>149</v>
      </c>
      <c r="S44">
        <v>4.3</v>
      </c>
      <c r="T44" t="s">
        <v>27</v>
      </c>
      <c r="U44">
        <v>4.8</v>
      </c>
    </row>
    <row r="45" spans="1:21" x14ac:dyDescent="0.3">
      <c r="A45">
        <v>44</v>
      </c>
      <c r="B45" t="s">
        <v>92</v>
      </c>
      <c r="C45">
        <v>33</v>
      </c>
      <c r="D45" t="s">
        <v>51</v>
      </c>
      <c r="E45" t="s">
        <v>57</v>
      </c>
      <c r="F45" t="s">
        <v>31</v>
      </c>
      <c r="G45">
        <v>2.2999999999999998</v>
      </c>
      <c r="H45" t="s">
        <v>40</v>
      </c>
      <c r="I45">
        <v>37.9</v>
      </c>
      <c r="J45">
        <v>7.5</v>
      </c>
      <c r="K45" t="s">
        <v>25</v>
      </c>
      <c r="L45">
        <v>26</v>
      </c>
      <c r="M45" t="str" cm="1">
        <f t="array" ref="M45">_xlfn.IFS(Employee[[#This Row],[Burnout_Score]]&lt;=30,"Low", AND(Employee[[#This Row],[Burnout_Score]]&gt;30,Employee[[#This Row],[Burnout_Score]]&lt;=60),"Medium", Employee[[#This Row],[Burnout_Score]]&gt;60,"High")</f>
        <v>Low</v>
      </c>
      <c r="N45">
        <v>8.6</v>
      </c>
      <c r="O45">
        <v>0</v>
      </c>
      <c r="P45">
        <v>9.6</v>
      </c>
      <c r="Q45" t="s">
        <v>149</v>
      </c>
      <c r="R45" t="s">
        <v>150</v>
      </c>
      <c r="S45">
        <v>2.1</v>
      </c>
      <c r="T45" t="s">
        <v>35</v>
      </c>
      <c r="U45">
        <v>5</v>
      </c>
    </row>
    <row r="46" spans="1:21" x14ac:dyDescent="0.3">
      <c r="A46">
        <v>45</v>
      </c>
      <c r="B46" t="s">
        <v>93</v>
      </c>
      <c r="C46">
        <v>44</v>
      </c>
      <c r="D46" t="s">
        <v>37</v>
      </c>
      <c r="E46" t="s">
        <v>38</v>
      </c>
      <c r="F46" t="s">
        <v>31</v>
      </c>
      <c r="G46">
        <v>8.5</v>
      </c>
      <c r="H46" t="s">
        <v>24</v>
      </c>
      <c r="I46">
        <v>44.6</v>
      </c>
      <c r="J46">
        <v>4.3</v>
      </c>
      <c r="K46" t="s">
        <v>44</v>
      </c>
      <c r="L46">
        <v>75</v>
      </c>
      <c r="M46" t="str" cm="1">
        <f t="array" ref="M46">_xlfn.IFS(Employee[[#This Row],[Burnout_Score]]&lt;=30,"Low", AND(Employee[[#This Row],[Burnout_Score]]&gt;30,Employee[[#This Row],[Burnout_Score]]&lt;=60),"Medium", Employee[[#This Row],[Burnout_Score]]&gt;60,"High")</f>
        <v>High</v>
      </c>
      <c r="N46">
        <v>6.9</v>
      </c>
      <c r="O46">
        <v>1</v>
      </c>
      <c r="P46">
        <v>3.2</v>
      </c>
      <c r="Q46" t="s">
        <v>150</v>
      </c>
      <c r="R46" t="s">
        <v>150</v>
      </c>
      <c r="S46">
        <v>5.5</v>
      </c>
      <c r="T46" t="s">
        <v>35</v>
      </c>
      <c r="U46">
        <v>9.9</v>
      </c>
    </row>
    <row r="47" spans="1:21" x14ac:dyDescent="0.3">
      <c r="A47">
        <v>46</v>
      </c>
      <c r="B47" t="s">
        <v>94</v>
      </c>
      <c r="C47">
        <v>41</v>
      </c>
      <c r="D47" t="s">
        <v>29</v>
      </c>
      <c r="E47" t="s">
        <v>52</v>
      </c>
      <c r="F47" t="s">
        <v>23</v>
      </c>
      <c r="G47">
        <v>2</v>
      </c>
      <c r="H47" t="s">
        <v>32</v>
      </c>
      <c r="I47">
        <v>49.7</v>
      </c>
      <c r="J47">
        <v>5.4</v>
      </c>
      <c r="K47" t="s">
        <v>44</v>
      </c>
      <c r="L47">
        <v>87</v>
      </c>
      <c r="M47" t="str" cm="1">
        <f t="array" ref="M47">_xlfn.IFS(Employee[[#This Row],[Burnout_Score]]&lt;=30,"Low", AND(Employee[[#This Row],[Burnout_Score]]&gt;30,Employee[[#This Row],[Burnout_Score]]&lt;=60),"Medium", Employee[[#This Row],[Burnout_Score]]&gt;60,"High")</f>
        <v>High</v>
      </c>
      <c r="N47">
        <v>4.2</v>
      </c>
      <c r="O47">
        <v>2</v>
      </c>
      <c r="P47">
        <v>7</v>
      </c>
      <c r="Q47" t="s">
        <v>149</v>
      </c>
      <c r="R47" t="s">
        <v>150</v>
      </c>
      <c r="S47">
        <v>8.6999999999999993</v>
      </c>
      <c r="T47" t="s">
        <v>27</v>
      </c>
      <c r="U47">
        <v>2.2999999999999998</v>
      </c>
    </row>
    <row r="48" spans="1:21" x14ac:dyDescent="0.3">
      <c r="A48">
        <v>47</v>
      </c>
      <c r="B48" t="s">
        <v>95</v>
      </c>
      <c r="C48">
        <v>46</v>
      </c>
      <c r="D48" t="s">
        <v>29</v>
      </c>
      <c r="E48" t="s">
        <v>48</v>
      </c>
      <c r="F48" t="s">
        <v>39</v>
      </c>
      <c r="G48">
        <v>17.8</v>
      </c>
      <c r="H48" t="s">
        <v>32</v>
      </c>
      <c r="I48">
        <v>41.5</v>
      </c>
      <c r="J48">
        <v>9.3000000000000007</v>
      </c>
      <c r="K48" t="s">
        <v>25</v>
      </c>
      <c r="L48">
        <v>62</v>
      </c>
      <c r="M48" t="str" cm="1">
        <f t="array" ref="M48">_xlfn.IFS(Employee[[#This Row],[Burnout_Score]]&lt;=30,"Low", AND(Employee[[#This Row],[Burnout_Score]]&gt;30,Employee[[#This Row],[Burnout_Score]]&lt;=60),"Medium", Employee[[#This Row],[Burnout_Score]]&gt;60,"High")</f>
        <v>High</v>
      </c>
      <c r="N48">
        <v>8.6</v>
      </c>
      <c r="O48">
        <v>1</v>
      </c>
      <c r="P48">
        <v>5.8</v>
      </c>
      <c r="Q48" t="s">
        <v>150</v>
      </c>
      <c r="R48" t="s">
        <v>149</v>
      </c>
      <c r="S48">
        <v>5.0999999999999996</v>
      </c>
      <c r="T48" t="s">
        <v>35</v>
      </c>
      <c r="U48">
        <v>8.9</v>
      </c>
    </row>
    <row r="49" spans="1:21" x14ac:dyDescent="0.3">
      <c r="A49">
        <v>48</v>
      </c>
      <c r="B49" t="s">
        <v>96</v>
      </c>
      <c r="C49">
        <v>24</v>
      </c>
      <c r="D49" t="s">
        <v>21</v>
      </c>
      <c r="E49" t="s">
        <v>30</v>
      </c>
      <c r="F49" t="s">
        <v>64</v>
      </c>
      <c r="G49">
        <v>1.5</v>
      </c>
      <c r="H49" t="s">
        <v>24</v>
      </c>
      <c r="I49">
        <v>44</v>
      </c>
      <c r="J49">
        <v>6.3</v>
      </c>
      <c r="K49" t="s">
        <v>25</v>
      </c>
      <c r="L49">
        <v>60</v>
      </c>
      <c r="M49" t="str" cm="1">
        <f t="array" ref="M49">_xlfn.IFS(Employee[[#This Row],[Burnout_Score]]&lt;=30,"Low", AND(Employee[[#This Row],[Burnout_Score]]&gt;30,Employee[[#This Row],[Burnout_Score]]&lt;=60),"Medium", Employee[[#This Row],[Burnout_Score]]&gt;60,"High")</f>
        <v>Medium</v>
      </c>
      <c r="N49">
        <v>5.2</v>
      </c>
      <c r="O49">
        <v>2</v>
      </c>
      <c r="P49">
        <v>4.8</v>
      </c>
      <c r="Q49" t="s">
        <v>149</v>
      </c>
      <c r="R49" t="s">
        <v>150</v>
      </c>
      <c r="S49">
        <v>3.4</v>
      </c>
      <c r="T49" t="s">
        <v>41</v>
      </c>
      <c r="U49">
        <v>6.6</v>
      </c>
    </row>
    <row r="50" spans="1:21" x14ac:dyDescent="0.3">
      <c r="A50">
        <v>49</v>
      </c>
      <c r="B50" t="s">
        <v>97</v>
      </c>
      <c r="C50">
        <v>26</v>
      </c>
      <c r="D50" t="s">
        <v>37</v>
      </c>
      <c r="E50" t="s">
        <v>38</v>
      </c>
      <c r="F50" t="s">
        <v>23</v>
      </c>
      <c r="G50">
        <v>12</v>
      </c>
      <c r="H50" t="s">
        <v>40</v>
      </c>
      <c r="I50">
        <v>45.5</v>
      </c>
      <c r="J50">
        <v>7.7</v>
      </c>
      <c r="K50" t="s">
        <v>44</v>
      </c>
      <c r="L50">
        <v>48</v>
      </c>
      <c r="M50" t="str" cm="1">
        <f t="array" ref="M50">_xlfn.IFS(Employee[[#This Row],[Burnout_Score]]&lt;=30,"Low", AND(Employee[[#This Row],[Burnout_Score]]&gt;30,Employee[[#This Row],[Burnout_Score]]&lt;=60),"Medium", Employee[[#This Row],[Burnout_Score]]&gt;60,"High")</f>
        <v>Medium</v>
      </c>
      <c r="N50">
        <v>6.9</v>
      </c>
      <c r="O50">
        <v>1</v>
      </c>
      <c r="P50">
        <v>4.8</v>
      </c>
      <c r="Q50" t="s">
        <v>150</v>
      </c>
      <c r="R50" t="s">
        <v>149</v>
      </c>
      <c r="S50">
        <v>8</v>
      </c>
      <c r="T50" t="s">
        <v>41</v>
      </c>
      <c r="U50">
        <v>5.5</v>
      </c>
    </row>
    <row r="51" spans="1:21" x14ac:dyDescent="0.3">
      <c r="A51">
        <v>50</v>
      </c>
      <c r="B51" t="s">
        <v>98</v>
      </c>
      <c r="C51">
        <v>40</v>
      </c>
      <c r="D51" t="s">
        <v>29</v>
      </c>
      <c r="E51" t="s">
        <v>46</v>
      </c>
      <c r="F51" t="s">
        <v>31</v>
      </c>
      <c r="G51">
        <v>9.3000000000000007</v>
      </c>
      <c r="H51" t="s">
        <v>40</v>
      </c>
      <c r="I51">
        <v>40</v>
      </c>
      <c r="J51">
        <v>4.2</v>
      </c>
      <c r="K51" t="s">
        <v>44</v>
      </c>
      <c r="L51">
        <v>60</v>
      </c>
      <c r="M51" t="str" cm="1">
        <f t="array" ref="M51">_xlfn.IFS(Employee[[#This Row],[Burnout_Score]]&lt;=30,"Low", AND(Employee[[#This Row],[Burnout_Score]]&gt;30,Employee[[#This Row],[Burnout_Score]]&lt;=60),"Medium", Employee[[#This Row],[Burnout_Score]]&gt;60,"High")</f>
        <v>Medium</v>
      </c>
      <c r="N51">
        <v>4.8</v>
      </c>
      <c r="O51">
        <v>1</v>
      </c>
      <c r="P51">
        <v>5.3</v>
      </c>
      <c r="Q51" t="s">
        <v>150</v>
      </c>
      <c r="R51" t="s">
        <v>150</v>
      </c>
      <c r="S51">
        <v>8.3000000000000007</v>
      </c>
      <c r="T51" t="s">
        <v>41</v>
      </c>
      <c r="U51">
        <v>7.8</v>
      </c>
    </row>
    <row r="52" spans="1:21" x14ac:dyDescent="0.3">
      <c r="A52">
        <v>51</v>
      </c>
      <c r="B52" t="s">
        <v>99</v>
      </c>
      <c r="C52">
        <v>28</v>
      </c>
      <c r="D52" t="s">
        <v>51</v>
      </c>
      <c r="E52" t="s">
        <v>57</v>
      </c>
      <c r="F52" t="s">
        <v>64</v>
      </c>
      <c r="G52">
        <v>13.8</v>
      </c>
      <c r="H52" t="s">
        <v>32</v>
      </c>
      <c r="I52">
        <v>43.1</v>
      </c>
      <c r="J52">
        <v>4.3</v>
      </c>
      <c r="K52" t="s">
        <v>33</v>
      </c>
      <c r="L52">
        <v>79</v>
      </c>
      <c r="M52" t="str" cm="1">
        <f t="array" ref="M52">_xlfn.IFS(Employee[[#This Row],[Burnout_Score]]&lt;=30,"Low", AND(Employee[[#This Row],[Burnout_Score]]&gt;30,Employee[[#This Row],[Burnout_Score]]&lt;=60),"Medium", Employee[[#This Row],[Burnout_Score]]&gt;60,"High")</f>
        <v>High</v>
      </c>
      <c r="N52">
        <v>4.2</v>
      </c>
      <c r="O52">
        <v>1</v>
      </c>
      <c r="P52">
        <v>7.6</v>
      </c>
      <c r="Q52" t="s">
        <v>150</v>
      </c>
      <c r="R52" t="s">
        <v>149</v>
      </c>
      <c r="S52">
        <v>3.4</v>
      </c>
      <c r="T52" t="s">
        <v>27</v>
      </c>
      <c r="U52">
        <v>5.9</v>
      </c>
    </row>
    <row r="53" spans="1:21" x14ac:dyDescent="0.3">
      <c r="A53">
        <v>52</v>
      </c>
      <c r="B53" t="s">
        <v>100</v>
      </c>
      <c r="C53">
        <v>42</v>
      </c>
      <c r="D53" t="s">
        <v>51</v>
      </c>
      <c r="E53" t="s">
        <v>48</v>
      </c>
      <c r="F53" t="s">
        <v>23</v>
      </c>
      <c r="G53">
        <v>7.2</v>
      </c>
      <c r="H53" t="s">
        <v>24</v>
      </c>
      <c r="I53">
        <v>42.1</v>
      </c>
      <c r="J53">
        <v>3.3</v>
      </c>
      <c r="K53" t="s">
        <v>44</v>
      </c>
      <c r="L53">
        <v>15</v>
      </c>
      <c r="M53" t="str" cm="1">
        <f t="array" ref="M53">_xlfn.IFS(Employee[[#This Row],[Burnout_Score]]&lt;=30,"Low", AND(Employee[[#This Row],[Burnout_Score]]&gt;30,Employee[[#This Row],[Burnout_Score]]&lt;=60),"Medium", Employee[[#This Row],[Burnout_Score]]&gt;60,"High")</f>
        <v>Low</v>
      </c>
      <c r="N53">
        <v>5.6</v>
      </c>
      <c r="O53">
        <v>0</v>
      </c>
      <c r="P53">
        <v>6.8</v>
      </c>
      <c r="Q53" t="s">
        <v>149</v>
      </c>
      <c r="R53" t="s">
        <v>150</v>
      </c>
      <c r="S53">
        <v>8.1999999999999993</v>
      </c>
      <c r="T53" t="s">
        <v>41</v>
      </c>
      <c r="U53">
        <v>9</v>
      </c>
    </row>
    <row r="54" spans="1:21" x14ac:dyDescent="0.3">
      <c r="A54">
        <v>53</v>
      </c>
      <c r="B54" t="s">
        <v>101</v>
      </c>
      <c r="C54">
        <v>30</v>
      </c>
      <c r="D54" t="s">
        <v>21</v>
      </c>
      <c r="E54" t="s">
        <v>57</v>
      </c>
      <c r="F54" t="s">
        <v>39</v>
      </c>
      <c r="G54">
        <v>3.9</v>
      </c>
      <c r="H54" t="s">
        <v>40</v>
      </c>
      <c r="I54">
        <v>42.5</v>
      </c>
      <c r="J54">
        <v>4.2</v>
      </c>
      <c r="K54" t="s">
        <v>44</v>
      </c>
      <c r="L54">
        <v>76</v>
      </c>
      <c r="M54" t="str" cm="1">
        <f t="array" ref="M54">_xlfn.IFS(Employee[[#This Row],[Burnout_Score]]&lt;=30,"Low", AND(Employee[[#This Row],[Burnout_Score]]&gt;30,Employee[[#This Row],[Burnout_Score]]&lt;=60),"Medium", Employee[[#This Row],[Burnout_Score]]&gt;60,"High")</f>
        <v>High</v>
      </c>
      <c r="N54">
        <v>7.9</v>
      </c>
      <c r="O54">
        <v>0</v>
      </c>
      <c r="P54">
        <v>5.7</v>
      </c>
      <c r="Q54" t="s">
        <v>149</v>
      </c>
      <c r="R54" t="s">
        <v>149</v>
      </c>
      <c r="S54">
        <v>9.6</v>
      </c>
      <c r="T54" t="s">
        <v>35</v>
      </c>
      <c r="U54">
        <v>9.1999999999999993</v>
      </c>
    </row>
    <row r="55" spans="1:21" x14ac:dyDescent="0.3">
      <c r="A55">
        <v>54</v>
      </c>
      <c r="B55" t="s">
        <v>102</v>
      </c>
      <c r="C55">
        <v>28</v>
      </c>
      <c r="D55" t="s">
        <v>29</v>
      </c>
      <c r="E55" t="s">
        <v>46</v>
      </c>
      <c r="F55" t="s">
        <v>23</v>
      </c>
      <c r="G55">
        <v>19.7</v>
      </c>
      <c r="H55" t="s">
        <v>24</v>
      </c>
      <c r="I55">
        <v>38.1</v>
      </c>
      <c r="J55">
        <v>5</v>
      </c>
      <c r="K55" t="s">
        <v>25</v>
      </c>
      <c r="L55">
        <v>16</v>
      </c>
      <c r="M55" t="str" cm="1">
        <f t="array" ref="M55">_xlfn.IFS(Employee[[#This Row],[Burnout_Score]]&lt;=30,"Low", AND(Employee[[#This Row],[Burnout_Score]]&gt;30,Employee[[#This Row],[Burnout_Score]]&lt;=60),"Medium", Employee[[#This Row],[Burnout_Score]]&gt;60,"High")</f>
        <v>Low</v>
      </c>
      <c r="N55">
        <v>5.4</v>
      </c>
      <c r="O55">
        <v>3</v>
      </c>
      <c r="P55">
        <v>2.6</v>
      </c>
      <c r="Q55" t="s">
        <v>150</v>
      </c>
      <c r="R55" t="s">
        <v>150</v>
      </c>
      <c r="S55">
        <v>3.3</v>
      </c>
      <c r="T55" t="s">
        <v>27</v>
      </c>
      <c r="U55">
        <v>5.4</v>
      </c>
    </row>
    <row r="56" spans="1:21" x14ac:dyDescent="0.3">
      <c r="A56">
        <v>55</v>
      </c>
      <c r="B56" t="s">
        <v>103</v>
      </c>
      <c r="C56">
        <v>39</v>
      </c>
      <c r="D56" t="s">
        <v>37</v>
      </c>
      <c r="E56" t="s">
        <v>57</v>
      </c>
      <c r="F56" t="s">
        <v>39</v>
      </c>
      <c r="G56">
        <v>16.899999999999999</v>
      </c>
      <c r="H56" t="s">
        <v>24</v>
      </c>
      <c r="I56">
        <v>42.1</v>
      </c>
      <c r="J56">
        <v>4.2</v>
      </c>
      <c r="K56" t="s">
        <v>44</v>
      </c>
      <c r="L56">
        <v>60</v>
      </c>
      <c r="M56" t="str" cm="1">
        <f t="array" ref="M56">_xlfn.IFS(Employee[[#This Row],[Burnout_Score]]&lt;=30,"Low", AND(Employee[[#This Row],[Burnout_Score]]&gt;30,Employee[[#This Row],[Burnout_Score]]&lt;=60),"Medium", Employee[[#This Row],[Burnout_Score]]&gt;60,"High")</f>
        <v>Medium</v>
      </c>
      <c r="N56">
        <v>5.0999999999999996</v>
      </c>
      <c r="O56">
        <v>3</v>
      </c>
      <c r="P56">
        <v>2.6</v>
      </c>
      <c r="Q56" t="s">
        <v>150</v>
      </c>
      <c r="R56" t="s">
        <v>149</v>
      </c>
      <c r="S56">
        <v>8.1999999999999993</v>
      </c>
      <c r="T56" t="s">
        <v>35</v>
      </c>
      <c r="U56">
        <v>4.2</v>
      </c>
    </row>
    <row r="57" spans="1:21" x14ac:dyDescent="0.3">
      <c r="A57">
        <v>56</v>
      </c>
      <c r="B57" t="s">
        <v>104</v>
      </c>
      <c r="C57">
        <v>25</v>
      </c>
      <c r="D57" t="s">
        <v>51</v>
      </c>
      <c r="E57" t="s">
        <v>52</v>
      </c>
      <c r="F57" t="s">
        <v>31</v>
      </c>
      <c r="G57">
        <v>17.3</v>
      </c>
      <c r="H57" t="s">
        <v>32</v>
      </c>
      <c r="I57">
        <v>44.5</v>
      </c>
      <c r="J57">
        <v>3.6</v>
      </c>
      <c r="K57" t="s">
        <v>33</v>
      </c>
      <c r="L57">
        <v>81</v>
      </c>
      <c r="M57" t="str" cm="1">
        <f t="array" ref="M57">_xlfn.IFS(Employee[[#This Row],[Burnout_Score]]&lt;=30,"Low", AND(Employee[[#This Row],[Burnout_Score]]&gt;30,Employee[[#This Row],[Burnout_Score]]&lt;=60),"Medium", Employee[[#This Row],[Burnout_Score]]&gt;60,"High")</f>
        <v>High</v>
      </c>
      <c r="N57">
        <v>5.0999999999999996</v>
      </c>
      <c r="O57">
        <v>2</v>
      </c>
      <c r="P57">
        <v>2</v>
      </c>
      <c r="Q57" t="s">
        <v>149</v>
      </c>
      <c r="R57" t="s">
        <v>149</v>
      </c>
      <c r="S57">
        <v>7.7</v>
      </c>
      <c r="T57" t="s">
        <v>41</v>
      </c>
      <c r="U57">
        <v>6.7</v>
      </c>
    </row>
    <row r="58" spans="1:21" x14ac:dyDescent="0.3">
      <c r="A58">
        <v>57</v>
      </c>
      <c r="B58" t="s">
        <v>105</v>
      </c>
      <c r="C58">
        <v>46</v>
      </c>
      <c r="D58" t="s">
        <v>29</v>
      </c>
      <c r="E58" t="s">
        <v>48</v>
      </c>
      <c r="F58" t="s">
        <v>39</v>
      </c>
      <c r="G58">
        <v>5.8</v>
      </c>
      <c r="H58" t="s">
        <v>40</v>
      </c>
      <c r="I58">
        <v>49.3</v>
      </c>
      <c r="J58">
        <v>3.8</v>
      </c>
      <c r="K58" t="s">
        <v>44</v>
      </c>
      <c r="L58">
        <v>51</v>
      </c>
      <c r="M58" t="str" cm="1">
        <f t="array" ref="M58">_xlfn.IFS(Employee[[#This Row],[Burnout_Score]]&lt;=30,"Low", AND(Employee[[#This Row],[Burnout_Score]]&gt;30,Employee[[#This Row],[Burnout_Score]]&lt;=60),"Medium", Employee[[#This Row],[Burnout_Score]]&gt;60,"High")</f>
        <v>Medium</v>
      </c>
      <c r="N58">
        <v>6.6</v>
      </c>
      <c r="O58">
        <v>0</v>
      </c>
      <c r="P58">
        <v>9.6999999999999993</v>
      </c>
      <c r="Q58" t="s">
        <v>149</v>
      </c>
      <c r="R58" t="s">
        <v>149</v>
      </c>
      <c r="S58">
        <v>5.8</v>
      </c>
      <c r="T58" t="s">
        <v>41</v>
      </c>
      <c r="U58">
        <v>9.3000000000000007</v>
      </c>
    </row>
    <row r="59" spans="1:21" x14ac:dyDescent="0.3">
      <c r="A59">
        <v>58</v>
      </c>
      <c r="B59" t="s">
        <v>106</v>
      </c>
      <c r="C59">
        <v>49</v>
      </c>
      <c r="D59" t="s">
        <v>29</v>
      </c>
      <c r="E59" t="s">
        <v>48</v>
      </c>
      <c r="F59" t="s">
        <v>64</v>
      </c>
      <c r="G59">
        <v>1.7</v>
      </c>
      <c r="H59" t="s">
        <v>32</v>
      </c>
      <c r="I59">
        <v>46.8</v>
      </c>
      <c r="J59">
        <v>6.2</v>
      </c>
      <c r="K59" t="s">
        <v>25</v>
      </c>
      <c r="L59">
        <v>73</v>
      </c>
      <c r="M59" t="str" cm="1">
        <f t="array" ref="M59">_xlfn.IFS(Employee[[#This Row],[Burnout_Score]]&lt;=30,"Low", AND(Employee[[#This Row],[Burnout_Score]]&gt;30,Employee[[#This Row],[Burnout_Score]]&lt;=60),"Medium", Employee[[#This Row],[Burnout_Score]]&gt;60,"High")</f>
        <v>High</v>
      </c>
      <c r="N59">
        <v>8.9</v>
      </c>
      <c r="O59">
        <v>2</v>
      </c>
      <c r="P59">
        <v>2</v>
      </c>
      <c r="Q59" t="s">
        <v>149</v>
      </c>
      <c r="R59" t="s">
        <v>149</v>
      </c>
      <c r="S59">
        <v>2.5</v>
      </c>
      <c r="T59" t="s">
        <v>41</v>
      </c>
      <c r="U59">
        <v>3.7</v>
      </c>
    </row>
    <row r="60" spans="1:21" x14ac:dyDescent="0.3">
      <c r="A60">
        <v>59</v>
      </c>
      <c r="B60" t="s">
        <v>107</v>
      </c>
      <c r="C60">
        <v>35</v>
      </c>
      <c r="D60" t="s">
        <v>21</v>
      </c>
      <c r="E60" t="s">
        <v>46</v>
      </c>
      <c r="F60" t="s">
        <v>31</v>
      </c>
      <c r="G60">
        <v>6.8</v>
      </c>
      <c r="H60" t="s">
        <v>40</v>
      </c>
      <c r="I60">
        <v>52.8</v>
      </c>
      <c r="J60">
        <v>4.4000000000000004</v>
      </c>
      <c r="K60" t="s">
        <v>25</v>
      </c>
      <c r="L60">
        <v>24</v>
      </c>
      <c r="M60" t="str" cm="1">
        <f t="array" ref="M60">_xlfn.IFS(Employee[[#This Row],[Burnout_Score]]&lt;=30,"Low", AND(Employee[[#This Row],[Burnout_Score]]&gt;30,Employee[[#This Row],[Burnout_Score]]&lt;=60),"Medium", Employee[[#This Row],[Burnout_Score]]&gt;60,"High")</f>
        <v>Low</v>
      </c>
      <c r="N60">
        <v>6.3</v>
      </c>
      <c r="O60">
        <v>3</v>
      </c>
      <c r="P60">
        <v>2.8</v>
      </c>
      <c r="Q60" t="s">
        <v>150</v>
      </c>
      <c r="R60" t="s">
        <v>150</v>
      </c>
      <c r="S60">
        <v>2.6</v>
      </c>
      <c r="T60" t="s">
        <v>27</v>
      </c>
      <c r="U60">
        <v>7</v>
      </c>
    </row>
    <row r="61" spans="1:21" x14ac:dyDescent="0.3">
      <c r="A61">
        <v>60</v>
      </c>
      <c r="B61" t="s">
        <v>108</v>
      </c>
      <c r="C61">
        <v>39</v>
      </c>
      <c r="D61" t="s">
        <v>51</v>
      </c>
      <c r="E61" t="s">
        <v>30</v>
      </c>
      <c r="F61" t="s">
        <v>64</v>
      </c>
      <c r="G61">
        <v>11.2</v>
      </c>
      <c r="H61" t="s">
        <v>40</v>
      </c>
      <c r="I61">
        <v>38.200000000000003</v>
      </c>
      <c r="J61">
        <v>5.5</v>
      </c>
      <c r="K61" t="s">
        <v>44</v>
      </c>
      <c r="L61">
        <v>38</v>
      </c>
      <c r="M61" t="str" cm="1">
        <f t="array" ref="M61">_xlfn.IFS(Employee[[#This Row],[Burnout_Score]]&lt;=30,"Low", AND(Employee[[#This Row],[Burnout_Score]]&gt;30,Employee[[#This Row],[Burnout_Score]]&lt;=60),"Medium", Employee[[#This Row],[Burnout_Score]]&gt;60,"High")</f>
        <v>Medium</v>
      </c>
      <c r="N61">
        <v>6.8</v>
      </c>
      <c r="O61">
        <v>2</v>
      </c>
      <c r="P61">
        <v>4.5</v>
      </c>
      <c r="Q61" t="s">
        <v>149</v>
      </c>
      <c r="R61" t="s">
        <v>150</v>
      </c>
      <c r="S61">
        <v>8.8000000000000007</v>
      </c>
      <c r="T61" t="s">
        <v>35</v>
      </c>
      <c r="U61">
        <v>7.1</v>
      </c>
    </row>
    <row r="62" spans="1:21" x14ac:dyDescent="0.3">
      <c r="A62">
        <v>61</v>
      </c>
      <c r="B62" t="s">
        <v>109</v>
      </c>
      <c r="C62">
        <v>47</v>
      </c>
      <c r="D62" t="s">
        <v>51</v>
      </c>
      <c r="E62" t="s">
        <v>52</v>
      </c>
      <c r="F62" t="s">
        <v>43</v>
      </c>
      <c r="G62">
        <v>7.2</v>
      </c>
      <c r="H62" t="s">
        <v>40</v>
      </c>
      <c r="I62">
        <v>46.4</v>
      </c>
      <c r="J62">
        <v>6.5</v>
      </c>
      <c r="K62" t="s">
        <v>25</v>
      </c>
      <c r="L62">
        <v>42</v>
      </c>
      <c r="M62" t="str" cm="1">
        <f t="array" ref="M62">_xlfn.IFS(Employee[[#This Row],[Burnout_Score]]&lt;=30,"Low", AND(Employee[[#This Row],[Burnout_Score]]&gt;30,Employee[[#This Row],[Burnout_Score]]&lt;=60),"Medium", Employee[[#This Row],[Burnout_Score]]&gt;60,"High")</f>
        <v>Medium</v>
      </c>
      <c r="N62">
        <v>8.3000000000000007</v>
      </c>
      <c r="O62">
        <v>3</v>
      </c>
      <c r="P62">
        <v>8.5</v>
      </c>
      <c r="Q62" t="s">
        <v>149</v>
      </c>
      <c r="R62" t="s">
        <v>149</v>
      </c>
      <c r="S62">
        <v>9.9</v>
      </c>
      <c r="T62" t="s">
        <v>27</v>
      </c>
      <c r="U62">
        <v>7.9</v>
      </c>
    </row>
    <row r="63" spans="1:21" x14ac:dyDescent="0.3">
      <c r="A63">
        <v>62</v>
      </c>
      <c r="B63" t="s">
        <v>110</v>
      </c>
      <c r="C63">
        <v>30</v>
      </c>
      <c r="D63" t="s">
        <v>37</v>
      </c>
      <c r="E63" t="s">
        <v>38</v>
      </c>
      <c r="F63" t="s">
        <v>58</v>
      </c>
      <c r="G63">
        <v>16.7</v>
      </c>
      <c r="H63" t="s">
        <v>40</v>
      </c>
      <c r="I63">
        <v>42.9</v>
      </c>
      <c r="J63">
        <v>7.8</v>
      </c>
      <c r="K63" t="s">
        <v>33</v>
      </c>
      <c r="L63">
        <v>36</v>
      </c>
      <c r="M63" t="str" cm="1">
        <f t="array" ref="M63">_xlfn.IFS(Employee[[#This Row],[Burnout_Score]]&lt;=30,"Low", AND(Employee[[#This Row],[Burnout_Score]]&gt;30,Employee[[#This Row],[Burnout_Score]]&lt;=60),"Medium", Employee[[#This Row],[Burnout_Score]]&gt;60,"High")</f>
        <v>Medium</v>
      </c>
      <c r="N63">
        <v>6.7</v>
      </c>
      <c r="O63">
        <v>0</v>
      </c>
      <c r="P63">
        <v>9.6999999999999993</v>
      </c>
      <c r="Q63" t="s">
        <v>150</v>
      </c>
      <c r="R63" t="s">
        <v>150</v>
      </c>
      <c r="S63">
        <v>7.4</v>
      </c>
      <c r="T63" t="s">
        <v>27</v>
      </c>
      <c r="U63">
        <v>3.1</v>
      </c>
    </row>
    <row r="64" spans="1:21" x14ac:dyDescent="0.3">
      <c r="A64">
        <v>63</v>
      </c>
      <c r="B64" t="s">
        <v>111</v>
      </c>
      <c r="C64">
        <v>47</v>
      </c>
      <c r="D64" t="s">
        <v>51</v>
      </c>
      <c r="E64" t="s">
        <v>57</v>
      </c>
      <c r="F64" t="s">
        <v>39</v>
      </c>
      <c r="G64">
        <v>6.2</v>
      </c>
      <c r="H64" t="s">
        <v>40</v>
      </c>
      <c r="I64">
        <v>52.9</v>
      </c>
      <c r="J64">
        <v>3.3</v>
      </c>
      <c r="K64" t="s">
        <v>33</v>
      </c>
      <c r="L64">
        <v>45</v>
      </c>
      <c r="M64" t="str" cm="1">
        <f t="array" ref="M64">_xlfn.IFS(Employee[[#This Row],[Burnout_Score]]&lt;=30,"Low", AND(Employee[[#This Row],[Burnout_Score]]&gt;30,Employee[[#This Row],[Burnout_Score]]&lt;=60),"Medium", Employee[[#This Row],[Burnout_Score]]&gt;60,"High")</f>
        <v>Medium</v>
      </c>
      <c r="N64">
        <v>4.9000000000000004</v>
      </c>
      <c r="O64">
        <v>1</v>
      </c>
      <c r="P64">
        <v>8.3000000000000007</v>
      </c>
      <c r="Q64" t="s">
        <v>149</v>
      </c>
      <c r="R64" t="s">
        <v>149</v>
      </c>
      <c r="S64">
        <v>5.6</v>
      </c>
      <c r="T64" t="s">
        <v>41</v>
      </c>
      <c r="U64">
        <v>7.7</v>
      </c>
    </row>
    <row r="65" spans="1:21" x14ac:dyDescent="0.3">
      <c r="A65">
        <v>64</v>
      </c>
      <c r="B65" t="s">
        <v>112</v>
      </c>
      <c r="C65">
        <v>42</v>
      </c>
      <c r="D65" t="s">
        <v>37</v>
      </c>
      <c r="E65" t="s">
        <v>22</v>
      </c>
      <c r="F65" t="s">
        <v>58</v>
      </c>
      <c r="G65">
        <v>19.3</v>
      </c>
      <c r="H65" t="s">
        <v>24</v>
      </c>
      <c r="I65">
        <v>38</v>
      </c>
      <c r="J65">
        <v>8.6</v>
      </c>
      <c r="K65" t="s">
        <v>44</v>
      </c>
      <c r="L65">
        <v>38</v>
      </c>
      <c r="M65" t="str" cm="1">
        <f t="array" ref="M65">_xlfn.IFS(Employee[[#This Row],[Burnout_Score]]&lt;=30,"Low", AND(Employee[[#This Row],[Burnout_Score]]&gt;30,Employee[[#This Row],[Burnout_Score]]&lt;=60),"Medium", Employee[[#This Row],[Burnout_Score]]&gt;60,"High")</f>
        <v>Medium</v>
      </c>
      <c r="N65">
        <v>5.5</v>
      </c>
      <c r="O65">
        <v>0</v>
      </c>
      <c r="P65">
        <v>7.5</v>
      </c>
      <c r="Q65" t="s">
        <v>149</v>
      </c>
      <c r="R65" t="s">
        <v>149</v>
      </c>
      <c r="S65">
        <v>7.2</v>
      </c>
      <c r="T65" t="s">
        <v>27</v>
      </c>
      <c r="U65">
        <v>9.3000000000000007</v>
      </c>
    </row>
    <row r="66" spans="1:21" x14ac:dyDescent="0.3">
      <c r="A66">
        <v>65</v>
      </c>
      <c r="B66" t="s">
        <v>113</v>
      </c>
      <c r="C66">
        <v>23</v>
      </c>
      <c r="D66" t="s">
        <v>51</v>
      </c>
      <c r="E66" t="s">
        <v>57</v>
      </c>
      <c r="F66" t="s">
        <v>58</v>
      </c>
      <c r="G66">
        <v>9.6999999999999993</v>
      </c>
      <c r="H66" t="s">
        <v>32</v>
      </c>
      <c r="I66">
        <v>37.799999999999997</v>
      </c>
      <c r="J66">
        <v>7.4</v>
      </c>
      <c r="K66" t="s">
        <v>44</v>
      </c>
      <c r="L66">
        <v>47</v>
      </c>
      <c r="M66" t="str" cm="1">
        <f t="array" ref="M66">_xlfn.IFS(Employee[[#This Row],[Burnout_Score]]&lt;=30,"Low", AND(Employee[[#This Row],[Burnout_Score]]&gt;30,Employee[[#This Row],[Burnout_Score]]&lt;=60),"Medium", Employee[[#This Row],[Burnout_Score]]&gt;60,"High")</f>
        <v>Medium</v>
      </c>
      <c r="N66">
        <v>5.5</v>
      </c>
      <c r="O66">
        <v>2</v>
      </c>
      <c r="P66">
        <v>6.2</v>
      </c>
      <c r="Q66" t="s">
        <v>149</v>
      </c>
      <c r="R66" t="s">
        <v>150</v>
      </c>
      <c r="S66">
        <v>6.8</v>
      </c>
      <c r="T66" t="s">
        <v>27</v>
      </c>
      <c r="U66">
        <v>3.4</v>
      </c>
    </row>
    <row r="67" spans="1:21" x14ac:dyDescent="0.3">
      <c r="A67">
        <v>66</v>
      </c>
      <c r="B67" t="s">
        <v>114</v>
      </c>
      <c r="C67">
        <v>41</v>
      </c>
      <c r="D67" t="s">
        <v>21</v>
      </c>
      <c r="E67" t="s">
        <v>57</v>
      </c>
      <c r="F67" t="s">
        <v>39</v>
      </c>
      <c r="G67">
        <v>17</v>
      </c>
      <c r="H67" t="s">
        <v>24</v>
      </c>
      <c r="I67">
        <v>39</v>
      </c>
      <c r="J67">
        <v>3.6</v>
      </c>
      <c r="K67" t="s">
        <v>44</v>
      </c>
      <c r="L67">
        <v>66</v>
      </c>
      <c r="M67" t="str" cm="1">
        <f t="array" ref="M67">_xlfn.IFS(Employee[[#This Row],[Burnout_Score]]&lt;=30,"Low", AND(Employee[[#This Row],[Burnout_Score]]&gt;30,Employee[[#This Row],[Burnout_Score]]&lt;=60),"Medium", Employee[[#This Row],[Burnout_Score]]&gt;60,"High")</f>
        <v>High</v>
      </c>
      <c r="N67">
        <v>6</v>
      </c>
      <c r="O67">
        <v>2</v>
      </c>
      <c r="P67">
        <v>2.7</v>
      </c>
      <c r="Q67" t="s">
        <v>150</v>
      </c>
      <c r="R67" t="s">
        <v>149</v>
      </c>
      <c r="S67">
        <v>5.0999999999999996</v>
      </c>
      <c r="T67" t="s">
        <v>41</v>
      </c>
      <c r="U67">
        <v>3.9</v>
      </c>
    </row>
    <row r="68" spans="1:21" x14ac:dyDescent="0.3">
      <c r="A68">
        <v>67</v>
      </c>
      <c r="B68" t="s">
        <v>115</v>
      </c>
      <c r="C68">
        <v>49</v>
      </c>
      <c r="D68" t="s">
        <v>51</v>
      </c>
      <c r="E68" t="s">
        <v>38</v>
      </c>
      <c r="F68" t="s">
        <v>31</v>
      </c>
      <c r="G68">
        <v>4.7</v>
      </c>
      <c r="H68" t="s">
        <v>40</v>
      </c>
      <c r="I68">
        <v>31.4</v>
      </c>
      <c r="J68">
        <v>9.1</v>
      </c>
      <c r="K68" t="s">
        <v>25</v>
      </c>
      <c r="L68">
        <v>36</v>
      </c>
      <c r="M68" t="str" cm="1">
        <f t="array" ref="M68">_xlfn.IFS(Employee[[#This Row],[Burnout_Score]]&lt;=30,"Low", AND(Employee[[#This Row],[Burnout_Score]]&gt;30,Employee[[#This Row],[Burnout_Score]]&lt;=60),"Medium", Employee[[#This Row],[Burnout_Score]]&gt;60,"High")</f>
        <v>Medium</v>
      </c>
      <c r="N68">
        <v>6.1</v>
      </c>
      <c r="O68">
        <v>0</v>
      </c>
      <c r="P68">
        <v>9.6999999999999993</v>
      </c>
      <c r="Q68" t="s">
        <v>150</v>
      </c>
      <c r="R68" t="s">
        <v>149</v>
      </c>
      <c r="S68">
        <v>2.5</v>
      </c>
      <c r="T68" t="s">
        <v>27</v>
      </c>
      <c r="U68">
        <v>9.8000000000000007</v>
      </c>
    </row>
    <row r="69" spans="1:21" x14ac:dyDescent="0.3">
      <c r="A69">
        <v>68</v>
      </c>
      <c r="B69" t="s">
        <v>116</v>
      </c>
      <c r="C69">
        <v>36</v>
      </c>
      <c r="D69" t="s">
        <v>37</v>
      </c>
      <c r="E69" t="s">
        <v>57</v>
      </c>
      <c r="F69" t="s">
        <v>43</v>
      </c>
      <c r="G69">
        <v>8.8000000000000007</v>
      </c>
      <c r="H69" t="s">
        <v>32</v>
      </c>
      <c r="I69">
        <v>39.4</v>
      </c>
      <c r="J69">
        <v>9.4</v>
      </c>
      <c r="K69" t="s">
        <v>33</v>
      </c>
      <c r="L69">
        <v>64</v>
      </c>
      <c r="M69" t="str" cm="1">
        <f t="array" ref="M69">_xlfn.IFS(Employee[[#This Row],[Burnout_Score]]&lt;=30,"Low", AND(Employee[[#This Row],[Burnout_Score]]&gt;30,Employee[[#This Row],[Burnout_Score]]&lt;=60),"Medium", Employee[[#This Row],[Burnout_Score]]&gt;60,"High")</f>
        <v>High</v>
      </c>
      <c r="N69">
        <v>8</v>
      </c>
      <c r="O69">
        <v>0</v>
      </c>
      <c r="P69">
        <v>8.1</v>
      </c>
      <c r="Q69" t="s">
        <v>150</v>
      </c>
      <c r="R69" t="s">
        <v>150</v>
      </c>
      <c r="S69">
        <v>8.6</v>
      </c>
      <c r="T69" t="s">
        <v>41</v>
      </c>
      <c r="U69">
        <v>3.4</v>
      </c>
    </row>
    <row r="70" spans="1:21" x14ac:dyDescent="0.3">
      <c r="A70">
        <v>69</v>
      </c>
      <c r="B70" t="s">
        <v>117</v>
      </c>
      <c r="C70">
        <v>49</v>
      </c>
      <c r="D70" t="s">
        <v>37</v>
      </c>
      <c r="E70" t="s">
        <v>52</v>
      </c>
      <c r="F70" t="s">
        <v>64</v>
      </c>
      <c r="G70">
        <v>14.3</v>
      </c>
      <c r="H70" t="s">
        <v>40</v>
      </c>
      <c r="I70">
        <v>38.200000000000003</v>
      </c>
      <c r="J70">
        <v>3.4</v>
      </c>
      <c r="K70" t="s">
        <v>33</v>
      </c>
      <c r="L70">
        <v>42</v>
      </c>
      <c r="M70" t="str" cm="1">
        <f t="array" ref="M70">_xlfn.IFS(Employee[[#This Row],[Burnout_Score]]&lt;=30,"Low", AND(Employee[[#This Row],[Burnout_Score]]&gt;30,Employee[[#This Row],[Burnout_Score]]&lt;=60),"Medium", Employee[[#This Row],[Burnout_Score]]&gt;60,"High")</f>
        <v>Medium</v>
      </c>
      <c r="N70">
        <v>5.7</v>
      </c>
      <c r="O70">
        <v>3</v>
      </c>
      <c r="P70">
        <v>7.1</v>
      </c>
      <c r="Q70" t="s">
        <v>150</v>
      </c>
      <c r="R70" t="s">
        <v>149</v>
      </c>
      <c r="S70">
        <v>5</v>
      </c>
      <c r="T70" t="s">
        <v>41</v>
      </c>
      <c r="U70">
        <v>8.8000000000000007</v>
      </c>
    </row>
    <row r="71" spans="1:21" x14ac:dyDescent="0.3">
      <c r="A71">
        <v>70</v>
      </c>
      <c r="B71" t="s">
        <v>118</v>
      </c>
      <c r="C71">
        <v>28</v>
      </c>
      <c r="D71" t="s">
        <v>21</v>
      </c>
      <c r="E71" t="s">
        <v>52</v>
      </c>
      <c r="F71" t="s">
        <v>23</v>
      </c>
      <c r="G71">
        <v>3.6</v>
      </c>
      <c r="H71" t="s">
        <v>32</v>
      </c>
      <c r="I71">
        <v>42.8</v>
      </c>
      <c r="J71">
        <v>4.9000000000000004</v>
      </c>
      <c r="K71" t="s">
        <v>25</v>
      </c>
      <c r="L71">
        <v>77</v>
      </c>
      <c r="M71" t="str" cm="1">
        <f t="array" ref="M71">_xlfn.IFS(Employee[[#This Row],[Burnout_Score]]&lt;=30,"Low", AND(Employee[[#This Row],[Burnout_Score]]&gt;30,Employee[[#This Row],[Burnout_Score]]&lt;=60),"Medium", Employee[[#This Row],[Burnout_Score]]&gt;60,"High")</f>
        <v>High</v>
      </c>
      <c r="N71">
        <v>6.3</v>
      </c>
      <c r="O71">
        <v>2</v>
      </c>
      <c r="P71">
        <v>8.1</v>
      </c>
      <c r="Q71" t="s">
        <v>150</v>
      </c>
      <c r="R71" t="s">
        <v>149</v>
      </c>
      <c r="S71">
        <v>8.6</v>
      </c>
      <c r="T71" t="s">
        <v>41</v>
      </c>
      <c r="U71">
        <v>5.9</v>
      </c>
    </row>
    <row r="72" spans="1:21" x14ac:dyDescent="0.3">
      <c r="A72">
        <v>71</v>
      </c>
      <c r="B72" t="s">
        <v>119</v>
      </c>
      <c r="C72">
        <v>33</v>
      </c>
      <c r="D72" t="s">
        <v>51</v>
      </c>
      <c r="E72" t="s">
        <v>48</v>
      </c>
      <c r="F72" t="s">
        <v>64</v>
      </c>
      <c r="G72">
        <v>3.5</v>
      </c>
      <c r="H72" t="s">
        <v>24</v>
      </c>
      <c r="I72">
        <v>43.7</v>
      </c>
      <c r="J72">
        <v>8.6</v>
      </c>
      <c r="K72" t="s">
        <v>33</v>
      </c>
      <c r="L72">
        <v>75</v>
      </c>
      <c r="M72" t="str" cm="1">
        <f t="array" ref="M72">_xlfn.IFS(Employee[[#This Row],[Burnout_Score]]&lt;=30,"Low", AND(Employee[[#This Row],[Burnout_Score]]&gt;30,Employee[[#This Row],[Burnout_Score]]&lt;=60),"Medium", Employee[[#This Row],[Burnout_Score]]&gt;60,"High")</f>
        <v>High</v>
      </c>
      <c r="N72">
        <v>7.1</v>
      </c>
      <c r="O72">
        <v>2</v>
      </c>
      <c r="P72">
        <v>7.8</v>
      </c>
      <c r="Q72" t="s">
        <v>150</v>
      </c>
      <c r="R72" t="s">
        <v>149</v>
      </c>
      <c r="S72">
        <v>4</v>
      </c>
      <c r="T72" t="s">
        <v>41</v>
      </c>
      <c r="U72">
        <v>4</v>
      </c>
    </row>
    <row r="73" spans="1:21" x14ac:dyDescent="0.3">
      <c r="A73">
        <v>72</v>
      </c>
      <c r="B73" t="s">
        <v>120</v>
      </c>
      <c r="C73">
        <v>29</v>
      </c>
      <c r="D73" t="s">
        <v>51</v>
      </c>
      <c r="E73" t="s">
        <v>46</v>
      </c>
      <c r="F73" t="s">
        <v>23</v>
      </c>
      <c r="G73">
        <v>19.399999999999999</v>
      </c>
      <c r="H73" t="s">
        <v>32</v>
      </c>
      <c r="I73">
        <v>51.4</v>
      </c>
      <c r="J73">
        <v>8.1999999999999993</v>
      </c>
      <c r="K73" t="s">
        <v>44</v>
      </c>
      <c r="L73">
        <v>19</v>
      </c>
      <c r="M73" t="str" cm="1">
        <f t="array" ref="M73">_xlfn.IFS(Employee[[#This Row],[Burnout_Score]]&lt;=30,"Low", AND(Employee[[#This Row],[Burnout_Score]]&gt;30,Employee[[#This Row],[Burnout_Score]]&lt;=60),"Medium", Employee[[#This Row],[Burnout_Score]]&gt;60,"High")</f>
        <v>Low</v>
      </c>
      <c r="N73">
        <v>5.9</v>
      </c>
      <c r="O73">
        <v>0</v>
      </c>
      <c r="P73">
        <v>7.1</v>
      </c>
      <c r="Q73" t="s">
        <v>150</v>
      </c>
      <c r="R73" t="s">
        <v>149</v>
      </c>
      <c r="S73">
        <v>2</v>
      </c>
      <c r="T73" t="s">
        <v>27</v>
      </c>
      <c r="U73">
        <v>9</v>
      </c>
    </row>
    <row r="74" spans="1:21" x14ac:dyDescent="0.3">
      <c r="A74">
        <v>73</v>
      </c>
      <c r="B74" t="s">
        <v>121</v>
      </c>
      <c r="C74">
        <v>36</v>
      </c>
      <c r="D74" t="s">
        <v>21</v>
      </c>
      <c r="E74" t="s">
        <v>30</v>
      </c>
      <c r="F74" t="s">
        <v>64</v>
      </c>
      <c r="G74">
        <v>14.6</v>
      </c>
      <c r="H74" t="s">
        <v>32</v>
      </c>
      <c r="I74">
        <v>46.8</v>
      </c>
      <c r="J74">
        <v>4.3</v>
      </c>
      <c r="K74" t="s">
        <v>44</v>
      </c>
      <c r="L74">
        <v>14</v>
      </c>
      <c r="M74" t="str" cm="1">
        <f t="array" ref="M74">_xlfn.IFS(Employee[[#This Row],[Burnout_Score]]&lt;=30,"Low", AND(Employee[[#This Row],[Burnout_Score]]&gt;30,Employee[[#This Row],[Burnout_Score]]&lt;=60),"Medium", Employee[[#This Row],[Burnout_Score]]&gt;60,"High")</f>
        <v>Low</v>
      </c>
      <c r="N74">
        <v>8.1999999999999993</v>
      </c>
      <c r="O74">
        <v>1</v>
      </c>
      <c r="P74">
        <v>9.8000000000000007</v>
      </c>
      <c r="Q74" t="s">
        <v>149</v>
      </c>
      <c r="R74" t="s">
        <v>150</v>
      </c>
      <c r="S74">
        <v>3.3</v>
      </c>
      <c r="T74" t="s">
        <v>41</v>
      </c>
      <c r="U74">
        <v>5.6</v>
      </c>
    </row>
    <row r="75" spans="1:21" x14ac:dyDescent="0.3">
      <c r="A75">
        <v>74</v>
      </c>
      <c r="B75" t="s">
        <v>122</v>
      </c>
      <c r="C75">
        <v>24</v>
      </c>
      <c r="D75" t="s">
        <v>51</v>
      </c>
      <c r="E75" t="s">
        <v>22</v>
      </c>
      <c r="F75" t="s">
        <v>39</v>
      </c>
      <c r="G75">
        <v>1.8</v>
      </c>
      <c r="H75" t="s">
        <v>32</v>
      </c>
      <c r="I75">
        <v>39.1</v>
      </c>
      <c r="J75">
        <v>4.5</v>
      </c>
      <c r="K75" t="s">
        <v>44</v>
      </c>
      <c r="L75">
        <v>83</v>
      </c>
      <c r="M75" t="str" cm="1">
        <f t="array" ref="M75">_xlfn.IFS(Employee[[#This Row],[Burnout_Score]]&lt;=30,"Low", AND(Employee[[#This Row],[Burnout_Score]]&gt;30,Employee[[#This Row],[Burnout_Score]]&lt;=60),"Medium", Employee[[#This Row],[Burnout_Score]]&gt;60,"High")</f>
        <v>High</v>
      </c>
      <c r="N75">
        <v>6.9</v>
      </c>
      <c r="O75">
        <v>2</v>
      </c>
      <c r="P75">
        <v>9.1999999999999993</v>
      </c>
      <c r="Q75" t="s">
        <v>149</v>
      </c>
      <c r="R75" t="s">
        <v>150</v>
      </c>
      <c r="S75">
        <v>5.7</v>
      </c>
      <c r="T75" t="s">
        <v>41</v>
      </c>
      <c r="U75">
        <v>6.1</v>
      </c>
    </row>
    <row r="76" spans="1:21" x14ac:dyDescent="0.3">
      <c r="A76">
        <v>75</v>
      </c>
      <c r="B76" t="s">
        <v>123</v>
      </c>
      <c r="C76">
        <v>35</v>
      </c>
      <c r="D76" t="s">
        <v>51</v>
      </c>
      <c r="E76" t="s">
        <v>57</v>
      </c>
      <c r="F76" t="s">
        <v>43</v>
      </c>
      <c r="G76">
        <v>8.6</v>
      </c>
      <c r="H76" t="s">
        <v>32</v>
      </c>
      <c r="I76">
        <v>37.5</v>
      </c>
      <c r="J76">
        <v>5.6</v>
      </c>
      <c r="K76" t="s">
        <v>33</v>
      </c>
      <c r="L76">
        <v>47</v>
      </c>
      <c r="M76" t="str" cm="1">
        <f t="array" ref="M76">_xlfn.IFS(Employee[[#This Row],[Burnout_Score]]&lt;=30,"Low", AND(Employee[[#This Row],[Burnout_Score]]&gt;30,Employee[[#This Row],[Burnout_Score]]&lt;=60),"Medium", Employee[[#This Row],[Burnout_Score]]&gt;60,"High")</f>
        <v>Medium</v>
      </c>
      <c r="N76">
        <v>5.5</v>
      </c>
      <c r="O76">
        <v>1</v>
      </c>
      <c r="P76">
        <v>7.2</v>
      </c>
      <c r="Q76" t="s">
        <v>150</v>
      </c>
      <c r="R76" t="s">
        <v>150</v>
      </c>
      <c r="S76">
        <v>9.6</v>
      </c>
      <c r="T76" t="s">
        <v>27</v>
      </c>
      <c r="U76">
        <v>4.9000000000000004</v>
      </c>
    </row>
    <row r="77" spans="1:21" x14ac:dyDescent="0.3">
      <c r="A77">
        <v>76</v>
      </c>
      <c r="B77" t="s">
        <v>124</v>
      </c>
      <c r="C77">
        <v>38</v>
      </c>
      <c r="D77" t="s">
        <v>37</v>
      </c>
      <c r="E77" t="s">
        <v>57</v>
      </c>
      <c r="F77" t="s">
        <v>23</v>
      </c>
      <c r="G77">
        <v>9.1999999999999993</v>
      </c>
      <c r="H77" t="s">
        <v>32</v>
      </c>
      <c r="I77">
        <v>44.5</v>
      </c>
      <c r="J77">
        <v>6.4</v>
      </c>
      <c r="K77" t="s">
        <v>44</v>
      </c>
      <c r="L77">
        <v>22</v>
      </c>
      <c r="M77" t="str" cm="1">
        <f t="array" ref="M77">_xlfn.IFS(Employee[[#This Row],[Burnout_Score]]&lt;=30,"Low", AND(Employee[[#This Row],[Burnout_Score]]&gt;30,Employee[[#This Row],[Burnout_Score]]&lt;=60),"Medium", Employee[[#This Row],[Burnout_Score]]&gt;60,"High")</f>
        <v>Low</v>
      </c>
      <c r="N77">
        <v>7.6</v>
      </c>
      <c r="O77">
        <v>0</v>
      </c>
      <c r="P77">
        <v>7.5</v>
      </c>
      <c r="Q77" t="s">
        <v>149</v>
      </c>
      <c r="R77" t="s">
        <v>149</v>
      </c>
      <c r="S77">
        <v>2.8</v>
      </c>
      <c r="T77" t="s">
        <v>27</v>
      </c>
      <c r="U77">
        <v>6.7</v>
      </c>
    </row>
    <row r="78" spans="1:21" x14ac:dyDescent="0.3">
      <c r="A78">
        <v>77</v>
      </c>
      <c r="B78" t="s">
        <v>125</v>
      </c>
      <c r="C78">
        <v>25</v>
      </c>
      <c r="D78" t="s">
        <v>51</v>
      </c>
      <c r="E78" t="s">
        <v>38</v>
      </c>
      <c r="F78" t="s">
        <v>31</v>
      </c>
      <c r="G78">
        <v>15.1</v>
      </c>
      <c r="H78" t="s">
        <v>40</v>
      </c>
      <c r="I78">
        <v>35.4</v>
      </c>
      <c r="J78">
        <v>7.3</v>
      </c>
      <c r="K78" t="s">
        <v>25</v>
      </c>
      <c r="L78">
        <v>40</v>
      </c>
      <c r="M78" t="str" cm="1">
        <f t="array" ref="M78">_xlfn.IFS(Employee[[#This Row],[Burnout_Score]]&lt;=30,"Low", AND(Employee[[#This Row],[Burnout_Score]]&gt;30,Employee[[#This Row],[Burnout_Score]]&lt;=60),"Medium", Employee[[#This Row],[Burnout_Score]]&gt;60,"High")</f>
        <v>Medium</v>
      </c>
      <c r="N78">
        <v>6.6</v>
      </c>
      <c r="O78">
        <v>0</v>
      </c>
      <c r="P78">
        <v>2.4</v>
      </c>
      <c r="Q78" t="s">
        <v>149</v>
      </c>
      <c r="R78" t="s">
        <v>149</v>
      </c>
      <c r="S78">
        <v>8.8000000000000007</v>
      </c>
      <c r="T78" t="s">
        <v>35</v>
      </c>
      <c r="U78">
        <v>3.3</v>
      </c>
    </row>
    <row r="79" spans="1:21" x14ac:dyDescent="0.3">
      <c r="A79">
        <v>78</v>
      </c>
      <c r="B79" t="s">
        <v>126</v>
      </c>
      <c r="C79">
        <v>39</v>
      </c>
      <c r="D79" t="s">
        <v>51</v>
      </c>
      <c r="E79" t="s">
        <v>46</v>
      </c>
      <c r="F79" t="s">
        <v>64</v>
      </c>
      <c r="G79">
        <v>5.8</v>
      </c>
      <c r="H79" t="s">
        <v>32</v>
      </c>
      <c r="I79">
        <v>51.2</v>
      </c>
      <c r="J79">
        <v>5.6</v>
      </c>
      <c r="K79" t="s">
        <v>25</v>
      </c>
      <c r="L79">
        <v>56</v>
      </c>
      <c r="M79" t="str" cm="1">
        <f t="array" ref="M79">_xlfn.IFS(Employee[[#This Row],[Burnout_Score]]&lt;=30,"Low", AND(Employee[[#This Row],[Burnout_Score]]&gt;30,Employee[[#This Row],[Burnout_Score]]&lt;=60),"Medium", Employee[[#This Row],[Burnout_Score]]&gt;60,"High")</f>
        <v>Medium</v>
      </c>
      <c r="N79">
        <v>6.7</v>
      </c>
      <c r="O79">
        <v>3</v>
      </c>
      <c r="P79">
        <v>7.4</v>
      </c>
      <c r="Q79" t="s">
        <v>150</v>
      </c>
      <c r="R79" t="s">
        <v>150</v>
      </c>
      <c r="S79">
        <v>6.2</v>
      </c>
      <c r="T79" t="s">
        <v>27</v>
      </c>
      <c r="U79">
        <v>5.0999999999999996</v>
      </c>
    </row>
    <row r="80" spans="1:21" x14ac:dyDescent="0.3">
      <c r="A80">
        <v>79</v>
      </c>
      <c r="B80" t="s">
        <v>127</v>
      </c>
      <c r="C80">
        <v>29</v>
      </c>
      <c r="D80" t="s">
        <v>21</v>
      </c>
      <c r="E80" t="s">
        <v>52</v>
      </c>
      <c r="F80" t="s">
        <v>64</v>
      </c>
      <c r="G80">
        <v>4.5</v>
      </c>
      <c r="H80" t="s">
        <v>32</v>
      </c>
      <c r="I80">
        <v>47.9</v>
      </c>
      <c r="J80">
        <v>6.2</v>
      </c>
      <c r="K80" t="s">
        <v>33</v>
      </c>
      <c r="L80">
        <v>61</v>
      </c>
      <c r="M80" t="str" cm="1">
        <f t="array" ref="M80">_xlfn.IFS(Employee[[#This Row],[Burnout_Score]]&lt;=30,"Low", AND(Employee[[#This Row],[Burnout_Score]]&gt;30,Employee[[#This Row],[Burnout_Score]]&lt;=60),"Medium", Employee[[#This Row],[Burnout_Score]]&gt;60,"High")</f>
        <v>High</v>
      </c>
      <c r="N80">
        <v>6.4</v>
      </c>
      <c r="O80">
        <v>2</v>
      </c>
      <c r="P80">
        <v>2.4</v>
      </c>
      <c r="Q80" t="s">
        <v>149</v>
      </c>
      <c r="R80" t="s">
        <v>149</v>
      </c>
      <c r="S80">
        <v>8.6</v>
      </c>
      <c r="T80" t="s">
        <v>27</v>
      </c>
      <c r="U80">
        <v>9.8000000000000007</v>
      </c>
    </row>
    <row r="81" spans="1:21" x14ac:dyDescent="0.3">
      <c r="A81">
        <v>80</v>
      </c>
      <c r="B81" t="s">
        <v>128</v>
      </c>
      <c r="C81">
        <v>25</v>
      </c>
      <c r="D81" t="s">
        <v>21</v>
      </c>
      <c r="E81" t="s">
        <v>22</v>
      </c>
      <c r="F81" t="s">
        <v>23</v>
      </c>
      <c r="G81">
        <v>2.5</v>
      </c>
      <c r="H81" t="s">
        <v>24</v>
      </c>
      <c r="I81">
        <v>39.700000000000003</v>
      </c>
      <c r="J81">
        <v>8.1999999999999993</v>
      </c>
      <c r="K81" t="s">
        <v>25</v>
      </c>
      <c r="L81">
        <v>65</v>
      </c>
      <c r="M81" t="str" cm="1">
        <f t="array" ref="M81">_xlfn.IFS(Employee[[#This Row],[Burnout_Score]]&lt;=30,"Low", AND(Employee[[#This Row],[Burnout_Score]]&gt;30,Employee[[#This Row],[Burnout_Score]]&lt;=60),"Medium", Employee[[#This Row],[Burnout_Score]]&gt;60,"High")</f>
        <v>High</v>
      </c>
      <c r="N81">
        <v>6.5</v>
      </c>
      <c r="O81">
        <v>1</v>
      </c>
      <c r="P81">
        <v>6.7</v>
      </c>
      <c r="Q81" t="s">
        <v>149</v>
      </c>
      <c r="R81" t="s">
        <v>149</v>
      </c>
      <c r="S81">
        <v>4.4000000000000004</v>
      </c>
      <c r="T81" t="s">
        <v>35</v>
      </c>
      <c r="U81">
        <v>4.0999999999999996</v>
      </c>
    </row>
    <row r="82" spans="1:21" x14ac:dyDescent="0.3">
      <c r="A82">
        <v>81</v>
      </c>
      <c r="B82" t="s">
        <v>129</v>
      </c>
      <c r="C82">
        <v>23</v>
      </c>
      <c r="D82" t="s">
        <v>29</v>
      </c>
      <c r="E82" t="s">
        <v>48</v>
      </c>
      <c r="F82" t="s">
        <v>31</v>
      </c>
      <c r="G82">
        <v>9.1</v>
      </c>
      <c r="H82" t="s">
        <v>32</v>
      </c>
      <c r="I82">
        <v>33.4</v>
      </c>
      <c r="J82">
        <v>3.3</v>
      </c>
      <c r="K82" t="s">
        <v>25</v>
      </c>
      <c r="L82">
        <v>24</v>
      </c>
      <c r="M82" t="str" cm="1">
        <f t="array" ref="M82">_xlfn.IFS(Employee[[#This Row],[Burnout_Score]]&lt;=30,"Low", AND(Employee[[#This Row],[Burnout_Score]]&gt;30,Employee[[#This Row],[Burnout_Score]]&lt;=60),"Medium", Employee[[#This Row],[Burnout_Score]]&gt;60,"High")</f>
        <v>Low</v>
      </c>
      <c r="N82">
        <v>7.8</v>
      </c>
      <c r="O82">
        <v>3</v>
      </c>
      <c r="P82">
        <v>10</v>
      </c>
      <c r="Q82" t="s">
        <v>149</v>
      </c>
      <c r="R82" t="s">
        <v>149</v>
      </c>
      <c r="S82">
        <v>8.6999999999999993</v>
      </c>
      <c r="T82" t="s">
        <v>27</v>
      </c>
      <c r="U82">
        <v>7.3</v>
      </c>
    </row>
    <row r="83" spans="1:21" x14ac:dyDescent="0.3">
      <c r="A83">
        <v>82</v>
      </c>
      <c r="B83" t="s">
        <v>130</v>
      </c>
      <c r="C83">
        <v>27</v>
      </c>
      <c r="D83" t="s">
        <v>37</v>
      </c>
      <c r="E83" t="s">
        <v>52</v>
      </c>
      <c r="F83" t="s">
        <v>31</v>
      </c>
      <c r="G83">
        <v>14.1</v>
      </c>
      <c r="H83" t="s">
        <v>24</v>
      </c>
      <c r="I83">
        <v>48.8</v>
      </c>
      <c r="J83">
        <v>4.8</v>
      </c>
      <c r="K83" t="s">
        <v>33</v>
      </c>
      <c r="L83">
        <v>38</v>
      </c>
      <c r="M83" t="str" cm="1">
        <f t="array" ref="M83">_xlfn.IFS(Employee[[#This Row],[Burnout_Score]]&lt;=30,"Low", AND(Employee[[#This Row],[Burnout_Score]]&gt;30,Employee[[#This Row],[Burnout_Score]]&lt;=60),"Medium", Employee[[#This Row],[Burnout_Score]]&gt;60,"High")</f>
        <v>Medium</v>
      </c>
      <c r="N83">
        <v>4.5</v>
      </c>
      <c r="O83">
        <v>2</v>
      </c>
      <c r="P83">
        <v>6.4</v>
      </c>
      <c r="Q83" t="s">
        <v>149</v>
      </c>
      <c r="R83" t="s">
        <v>149</v>
      </c>
      <c r="S83">
        <v>8.1999999999999993</v>
      </c>
      <c r="T83" t="s">
        <v>27</v>
      </c>
      <c r="U83">
        <v>4.5999999999999996</v>
      </c>
    </row>
    <row r="84" spans="1:21" x14ac:dyDescent="0.3">
      <c r="A84">
        <v>83</v>
      </c>
      <c r="B84" t="s">
        <v>131</v>
      </c>
      <c r="C84">
        <v>43</v>
      </c>
      <c r="D84" t="s">
        <v>51</v>
      </c>
      <c r="E84" t="s">
        <v>46</v>
      </c>
      <c r="F84" t="s">
        <v>39</v>
      </c>
      <c r="G84">
        <v>2.1</v>
      </c>
      <c r="H84" t="s">
        <v>40</v>
      </c>
      <c r="I84">
        <v>41.4</v>
      </c>
      <c r="J84">
        <v>8</v>
      </c>
      <c r="K84" t="s">
        <v>44</v>
      </c>
      <c r="L84">
        <v>17</v>
      </c>
      <c r="M84" t="str" cm="1">
        <f t="array" ref="M84">_xlfn.IFS(Employee[[#This Row],[Burnout_Score]]&lt;=30,"Low", AND(Employee[[#This Row],[Burnout_Score]]&gt;30,Employee[[#This Row],[Burnout_Score]]&lt;=60),"Medium", Employee[[#This Row],[Burnout_Score]]&gt;60,"High")</f>
        <v>Low</v>
      </c>
      <c r="N84">
        <v>5.7</v>
      </c>
      <c r="O84">
        <v>3</v>
      </c>
      <c r="P84">
        <v>5.8</v>
      </c>
      <c r="Q84" t="s">
        <v>149</v>
      </c>
      <c r="R84" t="s">
        <v>150</v>
      </c>
      <c r="S84">
        <v>3.8</v>
      </c>
      <c r="T84" t="s">
        <v>27</v>
      </c>
      <c r="U84">
        <v>8.1999999999999993</v>
      </c>
    </row>
    <row r="85" spans="1:21" x14ac:dyDescent="0.3">
      <c r="A85">
        <v>84</v>
      </c>
      <c r="B85" t="s">
        <v>132</v>
      </c>
      <c r="C85">
        <v>31</v>
      </c>
      <c r="D85" t="s">
        <v>51</v>
      </c>
      <c r="E85" t="s">
        <v>30</v>
      </c>
      <c r="F85" t="s">
        <v>39</v>
      </c>
      <c r="G85">
        <v>18.399999999999999</v>
      </c>
      <c r="H85" t="s">
        <v>32</v>
      </c>
      <c r="I85">
        <v>48.2</v>
      </c>
      <c r="J85">
        <v>9.3000000000000007</v>
      </c>
      <c r="K85" t="s">
        <v>44</v>
      </c>
      <c r="L85">
        <v>14</v>
      </c>
      <c r="M85" t="str" cm="1">
        <f t="array" ref="M85">_xlfn.IFS(Employee[[#This Row],[Burnout_Score]]&lt;=30,"Low", AND(Employee[[#This Row],[Burnout_Score]]&gt;30,Employee[[#This Row],[Burnout_Score]]&lt;=60),"Medium", Employee[[#This Row],[Burnout_Score]]&gt;60,"High")</f>
        <v>Low</v>
      </c>
      <c r="N85">
        <v>4.4000000000000004</v>
      </c>
      <c r="O85">
        <v>0</v>
      </c>
      <c r="P85">
        <v>4.5</v>
      </c>
      <c r="Q85" t="s">
        <v>150</v>
      </c>
      <c r="R85" t="s">
        <v>150</v>
      </c>
      <c r="S85">
        <v>3.1</v>
      </c>
      <c r="T85" t="s">
        <v>27</v>
      </c>
      <c r="U85">
        <v>3</v>
      </c>
    </row>
    <row r="86" spans="1:21" x14ac:dyDescent="0.3">
      <c r="A86">
        <v>85</v>
      </c>
      <c r="B86" t="s">
        <v>133</v>
      </c>
      <c r="C86">
        <v>25</v>
      </c>
      <c r="D86" t="s">
        <v>29</v>
      </c>
      <c r="E86" t="s">
        <v>48</v>
      </c>
      <c r="F86" t="s">
        <v>39</v>
      </c>
      <c r="G86">
        <v>9.4</v>
      </c>
      <c r="H86" t="s">
        <v>24</v>
      </c>
      <c r="I86">
        <v>34</v>
      </c>
      <c r="J86">
        <v>6.6</v>
      </c>
      <c r="K86" t="s">
        <v>44</v>
      </c>
      <c r="L86">
        <v>38</v>
      </c>
      <c r="M86" t="str" cm="1">
        <f t="array" ref="M86">_xlfn.IFS(Employee[[#This Row],[Burnout_Score]]&lt;=30,"Low", AND(Employee[[#This Row],[Burnout_Score]]&gt;30,Employee[[#This Row],[Burnout_Score]]&lt;=60),"Medium", Employee[[#This Row],[Burnout_Score]]&gt;60,"High")</f>
        <v>Medium</v>
      </c>
      <c r="N86">
        <v>7.8</v>
      </c>
      <c r="O86">
        <v>2</v>
      </c>
      <c r="P86">
        <v>3</v>
      </c>
      <c r="Q86" t="s">
        <v>150</v>
      </c>
      <c r="R86" t="s">
        <v>150</v>
      </c>
      <c r="S86">
        <v>8.9</v>
      </c>
      <c r="T86" t="s">
        <v>35</v>
      </c>
      <c r="U86">
        <v>9.8000000000000007</v>
      </c>
    </row>
    <row r="87" spans="1:21" x14ac:dyDescent="0.3">
      <c r="A87">
        <v>86</v>
      </c>
      <c r="B87" t="s">
        <v>134</v>
      </c>
      <c r="C87">
        <v>43</v>
      </c>
      <c r="D87" t="s">
        <v>51</v>
      </c>
      <c r="E87" t="s">
        <v>30</v>
      </c>
      <c r="F87" t="s">
        <v>39</v>
      </c>
      <c r="G87">
        <v>5.6</v>
      </c>
      <c r="H87" t="s">
        <v>24</v>
      </c>
      <c r="I87">
        <v>39</v>
      </c>
      <c r="J87">
        <v>6.7</v>
      </c>
      <c r="K87" t="s">
        <v>33</v>
      </c>
      <c r="L87">
        <v>56</v>
      </c>
      <c r="M87" t="str" cm="1">
        <f t="array" ref="M87">_xlfn.IFS(Employee[[#This Row],[Burnout_Score]]&lt;=30,"Low", AND(Employee[[#This Row],[Burnout_Score]]&gt;30,Employee[[#This Row],[Burnout_Score]]&lt;=60),"Medium", Employee[[#This Row],[Burnout_Score]]&gt;60,"High")</f>
        <v>Medium</v>
      </c>
      <c r="N87">
        <v>5.4</v>
      </c>
      <c r="O87">
        <v>3</v>
      </c>
      <c r="P87">
        <v>7.8</v>
      </c>
      <c r="Q87" t="s">
        <v>150</v>
      </c>
      <c r="R87" t="s">
        <v>149</v>
      </c>
      <c r="S87">
        <v>9.6999999999999993</v>
      </c>
      <c r="T87" t="s">
        <v>27</v>
      </c>
      <c r="U87">
        <v>5.6</v>
      </c>
    </row>
    <row r="88" spans="1:21" x14ac:dyDescent="0.3">
      <c r="A88">
        <v>87</v>
      </c>
      <c r="B88" t="s">
        <v>135</v>
      </c>
      <c r="C88">
        <v>39</v>
      </c>
      <c r="D88" t="s">
        <v>37</v>
      </c>
      <c r="E88" t="s">
        <v>38</v>
      </c>
      <c r="F88" t="s">
        <v>39</v>
      </c>
      <c r="G88">
        <v>2.8</v>
      </c>
      <c r="H88" t="s">
        <v>40</v>
      </c>
      <c r="I88">
        <v>42</v>
      </c>
      <c r="J88">
        <v>3.8</v>
      </c>
      <c r="K88" t="s">
        <v>25</v>
      </c>
      <c r="L88">
        <v>77</v>
      </c>
      <c r="M88" t="str" cm="1">
        <f t="array" ref="M88">_xlfn.IFS(Employee[[#This Row],[Burnout_Score]]&lt;=30,"Low", AND(Employee[[#This Row],[Burnout_Score]]&gt;30,Employee[[#This Row],[Burnout_Score]]&lt;=60),"Medium", Employee[[#This Row],[Burnout_Score]]&gt;60,"High")</f>
        <v>High</v>
      </c>
      <c r="N88">
        <v>8.5</v>
      </c>
      <c r="O88">
        <v>3</v>
      </c>
      <c r="P88">
        <v>3.5</v>
      </c>
      <c r="Q88" t="s">
        <v>149</v>
      </c>
      <c r="R88" t="s">
        <v>150</v>
      </c>
      <c r="S88">
        <v>2.2999999999999998</v>
      </c>
      <c r="T88" t="s">
        <v>27</v>
      </c>
      <c r="U88">
        <v>3.9</v>
      </c>
    </row>
    <row r="89" spans="1:21" x14ac:dyDescent="0.3">
      <c r="A89">
        <v>88</v>
      </c>
      <c r="B89" t="s">
        <v>136</v>
      </c>
      <c r="C89">
        <v>47</v>
      </c>
      <c r="D89" t="s">
        <v>29</v>
      </c>
      <c r="E89" t="s">
        <v>38</v>
      </c>
      <c r="F89" t="s">
        <v>39</v>
      </c>
      <c r="G89">
        <v>4.5</v>
      </c>
      <c r="H89" t="s">
        <v>32</v>
      </c>
      <c r="I89">
        <v>42.2</v>
      </c>
      <c r="J89">
        <v>6.1</v>
      </c>
      <c r="K89" t="s">
        <v>44</v>
      </c>
      <c r="L89">
        <v>85</v>
      </c>
      <c r="M89" t="str" cm="1">
        <f t="array" ref="M89">_xlfn.IFS(Employee[[#This Row],[Burnout_Score]]&lt;=30,"Low", AND(Employee[[#This Row],[Burnout_Score]]&gt;30,Employee[[#This Row],[Burnout_Score]]&lt;=60),"Medium", Employee[[#This Row],[Burnout_Score]]&gt;60,"High")</f>
        <v>High</v>
      </c>
      <c r="N89">
        <v>6.6</v>
      </c>
      <c r="O89">
        <v>1</v>
      </c>
      <c r="P89">
        <v>2.9</v>
      </c>
      <c r="Q89" t="s">
        <v>150</v>
      </c>
      <c r="R89" t="s">
        <v>150</v>
      </c>
      <c r="S89">
        <v>7.9</v>
      </c>
      <c r="T89" t="s">
        <v>35</v>
      </c>
      <c r="U89">
        <v>2.6</v>
      </c>
    </row>
    <row r="90" spans="1:21" x14ac:dyDescent="0.3">
      <c r="A90">
        <v>89</v>
      </c>
      <c r="B90" t="s">
        <v>137</v>
      </c>
      <c r="C90">
        <v>33</v>
      </c>
      <c r="D90" t="s">
        <v>37</v>
      </c>
      <c r="E90" t="s">
        <v>57</v>
      </c>
      <c r="F90" t="s">
        <v>43</v>
      </c>
      <c r="G90">
        <v>18.8</v>
      </c>
      <c r="H90" t="s">
        <v>32</v>
      </c>
      <c r="I90">
        <v>39.700000000000003</v>
      </c>
      <c r="J90">
        <v>6.7</v>
      </c>
      <c r="K90" t="s">
        <v>44</v>
      </c>
      <c r="L90">
        <v>54</v>
      </c>
      <c r="M90" t="str" cm="1">
        <f t="array" ref="M90">_xlfn.IFS(Employee[[#This Row],[Burnout_Score]]&lt;=30,"Low", AND(Employee[[#This Row],[Burnout_Score]]&gt;30,Employee[[#This Row],[Burnout_Score]]&lt;=60),"Medium", Employee[[#This Row],[Burnout_Score]]&gt;60,"High")</f>
        <v>Medium</v>
      </c>
      <c r="N90">
        <v>8</v>
      </c>
      <c r="O90">
        <v>3</v>
      </c>
      <c r="P90">
        <v>5.4</v>
      </c>
      <c r="Q90" t="s">
        <v>149</v>
      </c>
      <c r="R90" t="s">
        <v>149</v>
      </c>
      <c r="S90">
        <v>9.3000000000000007</v>
      </c>
      <c r="T90" t="s">
        <v>41</v>
      </c>
      <c r="U90">
        <v>3.4</v>
      </c>
    </row>
    <row r="91" spans="1:21" x14ac:dyDescent="0.3">
      <c r="A91">
        <v>90</v>
      </c>
      <c r="B91" t="s">
        <v>138</v>
      </c>
      <c r="C91">
        <v>23</v>
      </c>
      <c r="D91" t="s">
        <v>29</v>
      </c>
      <c r="E91" t="s">
        <v>30</v>
      </c>
      <c r="F91" t="s">
        <v>31</v>
      </c>
      <c r="G91">
        <v>13.1</v>
      </c>
      <c r="H91" t="s">
        <v>24</v>
      </c>
      <c r="I91">
        <v>45.1</v>
      </c>
      <c r="J91">
        <v>4.7</v>
      </c>
      <c r="K91" t="s">
        <v>33</v>
      </c>
      <c r="L91">
        <v>11</v>
      </c>
      <c r="M91" t="str" cm="1">
        <f t="array" ref="M91">_xlfn.IFS(Employee[[#This Row],[Burnout_Score]]&lt;=30,"Low", AND(Employee[[#This Row],[Burnout_Score]]&gt;30,Employee[[#This Row],[Burnout_Score]]&lt;=60),"Medium", Employee[[#This Row],[Burnout_Score]]&gt;60,"High")</f>
        <v>Low</v>
      </c>
      <c r="N91">
        <v>8.9</v>
      </c>
      <c r="O91">
        <v>2</v>
      </c>
      <c r="P91">
        <v>8.4</v>
      </c>
      <c r="Q91" t="s">
        <v>149</v>
      </c>
      <c r="R91" t="s">
        <v>149</v>
      </c>
      <c r="S91">
        <v>8.9</v>
      </c>
      <c r="T91" t="s">
        <v>35</v>
      </c>
      <c r="U91">
        <v>6.2</v>
      </c>
    </row>
    <row r="92" spans="1:21" x14ac:dyDescent="0.3">
      <c r="A92">
        <v>91</v>
      </c>
      <c r="B92" t="s">
        <v>139</v>
      </c>
      <c r="C92">
        <v>31</v>
      </c>
      <c r="D92" t="s">
        <v>29</v>
      </c>
      <c r="E92" t="s">
        <v>46</v>
      </c>
      <c r="F92" t="s">
        <v>39</v>
      </c>
      <c r="G92">
        <v>10.8</v>
      </c>
      <c r="H92" t="s">
        <v>32</v>
      </c>
      <c r="I92">
        <v>36.700000000000003</v>
      </c>
      <c r="J92">
        <v>4.9000000000000004</v>
      </c>
      <c r="K92" t="s">
        <v>44</v>
      </c>
      <c r="L92">
        <v>36</v>
      </c>
      <c r="M92" t="str" cm="1">
        <f t="array" ref="M92">_xlfn.IFS(Employee[[#This Row],[Burnout_Score]]&lt;=30,"Low", AND(Employee[[#This Row],[Burnout_Score]]&gt;30,Employee[[#This Row],[Burnout_Score]]&lt;=60),"Medium", Employee[[#This Row],[Burnout_Score]]&gt;60,"High")</f>
        <v>Medium</v>
      </c>
      <c r="N92">
        <v>8.1999999999999993</v>
      </c>
      <c r="O92">
        <v>2</v>
      </c>
      <c r="P92">
        <v>8</v>
      </c>
      <c r="Q92" t="s">
        <v>149</v>
      </c>
      <c r="R92" t="s">
        <v>150</v>
      </c>
      <c r="S92">
        <v>9.6999999999999993</v>
      </c>
      <c r="T92" t="s">
        <v>41</v>
      </c>
      <c r="U92">
        <v>4.7</v>
      </c>
    </row>
    <row r="93" spans="1:21" x14ac:dyDescent="0.3">
      <c r="A93">
        <v>92</v>
      </c>
      <c r="B93" t="s">
        <v>140</v>
      </c>
      <c r="C93">
        <v>25</v>
      </c>
      <c r="D93" t="s">
        <v>21</v>
      </c>
      <c r="E93" t="s">
        <v>22</v>
      </c>
      <c r="F93" t="s">
        <v>31</v>
      </c>
      <c r="G93">
        <v>13.5</v>
      </c>
      <c r="H93" t="s">
        <v>24</v>
      </c>
      <c r="I93">
        <v>41.3</v>
      </c>
      <c r="J93">
        <v>5.6</v>
      </c>
      <c r="K93" t="s">
        <v>33</v>
      </c>
      <c r="L93">
        <v>45</v>
      </c>
      <c r="M93" t="str" cm="1">
        <f t="array" ref="M93">_xlfn.IFS(Employee[[#This Row],[Burnout_Score]]&lt;=30,"Low", AND(Employee[[#This Row],[Burnout_Score]]&gt;30,Employee[[#This Row],[Burnout_Score]]&lt;=60),"Medium", Employee[[#This Row],[Burnout_Score]]&gt;60,"High")</f>
        <v>Medium</v>
      </c>
      <c r="N93">
        <v>8.3000000000000007</v>
      </c>
      <c r="O93">
        <v>1</v>
      </c>
      <c r="P93">
        <v>2.4</v>
      </c>
      <c r="Q93" t="s">
        <v>149</v>
      </c>
      <c r="R93" t="s">
        <v>150</v>
      </c>
      <c r="S93">
        <v>8.1</v>
      </c>
      <c r="T93" t="s">
        <v>35</v>
      </c>
      <c r="U93">
        <v>8.6</v>
      </c>
    </row>
    <row r="94" spans="1:21" x14ac:dyDescent="0.3">
      <c r="A94">
        <v>93</v>
      </c>
      <c r="B94" t="s">
        <v>141</v>
      </c>
      <c r="C94">
        <v>35</v>
      </c>
      <c r="D94" t="s">
        <v>37</v>
      </c>
      <c r="E94" t="s">
        <v>48</v>
      </c>
      <c r="F94" t="s">
        <v>31</v>
      </c>
      <c r="G94">
        <v>9.3000000000000007</v>
      </c>
      <c r="H94" t="s">
        <v>32</v>
      </c>
      <c r="I94">
        <v>42.6</v>
      </c>
      <c r="J94">
        <v>3.1</v>
      </c>
      <c r="K94" t="s">
        <v>25</v>
      </c>
      <c r="L94">
        <v>45</v>
      </c>
      <c r="M94" t="str" cm="1">
        <f t="array" ref="M94">_xlfn.IFS(Employee[[#This Row],[Burnout_Score]]&lt;=30,"Low", AND(Employee[[#This Row],[Burnout_Score]]&gt;30,Employee[[#This Row],[Burnout_Score]]&lt;=60),"Medium", Employee[[#This Row],[Burnout_Score]]&gt;60,"High")</f>
        <v>Medium</v>
      </c>
      <c r="N94">
        <v>6</v>
      </c>
      <c r="O94">
        <v>2</v>
      </c>
      <c r="P94">
        <v>5.6</v>
      </c>
      <c r="Q94" t="s">
        <v>150</v>
      </c>
      <c r="R94" t="s">
        <v>150</v>
      </c>
      <c r="S94">
        <v>5.5</v>
      </c>
      <c r="T94" t="s">
        <v>35</v>
      </c>
      <c r="U94">
        <v>5.4</v>
      </c>
    </row>
    <row r="95" spans="1:21" x14ac:dyDescent="0.3">
      <c r="A95">
        <v>94</v>
      </c>
      <c r="B95" t="s">
        <v>142</v>
      </c>
      <c r="C95">
        <v>37</v>
      </c>
      <c r="D95" t="s">
        <v>51</v>
      </c>
      <c r="E95" t="s">
        <v>52</v>
      </c>
      <c r="F95" t="s">
        <v>58</v>
      </c>
      <c r="G95">
        <v>14.9</v>
      </c>
      <c r="H95" t="s">
        <v>24</v>
      </c>
      <c r="I95">
        <v>44.6</v>
      </c>
      <c r="J95">
        <v>5.3</v>
      </c>
      <c r="K95" t="s">
        <v>33</v>
      </c>
      <c r="L95">
        <v>35</v>
      </c>
      <c r="M95" t="str" cm="1">
        <f t="array" ref="M95">_xlfn.IFS(Employee[[#This Row],[Burnout_Score]]&lt;=30,"Low", AND(Employee[[#This Row],[Burnout_Score]]&gt;30,Employee[[#This Row],[Burnout_Score]]&lt;=60),"Medium", Employee[[#This Row],[Burnout_Score]]&gt;60,"High")</f>
        <v>Medium</v>
      </c>
      <c r="N95">
        <v>6.8</v>
      </c>
      <c r="O95">
        <v>0</v>
      </c>
      <c r="P95">
        <v>6.2</v>
      </c>
      <c r="Q95" t="s">
        <v>150</v>
      </c>
      <c r="R95" t="s">
        <v>150</v>
      </c>
      <c r="S95">
        <v>4.5</v>
      </c>
      <c r="T95" t="s">
        <v>27</v>
      </c>
      <c r="U95">
        <v>4</v>
      </c>
    </row>
    <row r="96" spans="1:21" x14ac:dyDescent="0.3">
      <c r="A96">
        <v>95</v>
      </c>
      <c r="B96" t="s">
        <v>143</v>
      </c>
      <c r="C96">
        <v>36</v>
      </c>
      <c r="D96" t="s">
        <v>51</v>
      </c>
      <c r="E96" t="s">
        <v>46</v>
      </c>
      <c r="F96" t="s">
        <v>43</v>
      </c>
      <c r="G96">
        <v>1.9</v>
      </c>
      <c r="H96" t="s">
        <v>32</v>
      </c>
      <c r="I96">
        <v>45.6</v>
      </c>
      <c r="J96">
        <v>4.5</v>
      </c>
      <c r="K96" t="s">
        <v>33</v>
      </c>
      <c r="L96">
        <v>52</v>
      </c>
      <c r="M96" t="str" cm="1">
        <f t="array" ref="M96">_xlfn.IFS(Employee[[#This Row],[Burnout_Score]]&lt;=30,"Low", AND(Employee[[#This Row],[Burnout_Score]]&gt;30,Employee[[#This Row],[Burnout_Score]]&lt;=60),"Medium", Employee[[#This Row],[Burnout_Score]]&gt;60,"High")</f>
        <v>Medium</v>
      </c>
      <c r="N96">
        <v>5.3</v>
      </c>
      <c r="O96">
        <v>2</v>
      </c>
      <c r="P96">
        <v>7.2</v>
      </c>
      <c r="Q96" t="s">
        <v>149</v>
      </c>
      <c r="R96" t="s">
        <v>149</v>
      </c>
      <c r="S96">
        <v>4.5999999999999996</v>
      </c>
      <c r="T96" t="s">
        <v>41</v>
      </c>
      <c r="U96">
        <v>6.9</v>
      </c>
    </row>
    <row r="97" spans="1:21" x14ac:dyDescent="0.3">
      <c r="A97">
        <v>96</v>
      </c>
      <c r="B97" t="s">
        <v>144</v>
      </c>
      <c r="C97">
        <v>29</v>
      </c>
      <c r="D97" t="s">
        <v>37</v>
      </c>
      <c r="E97" t="s">
        <v>46</v>
      </c>
      <c r="F97" t="s">
        <v>39</v>
      </c>
      <c r="G97">
        <v>11.8</v>
      </c>
      <c r="H97" t="s">
        <v>40</v>
      </c>
      <c r="I97">
        <v>36.4</v>
      </c>
      <c r="J97">
        <v>5.3</v>
      </c>
      <c r="K97" t="s">
        <v>33</v>
      </c>
      <c r="L97">
        <v>36</v>
      </c>
      <c r="M97" t="str" cm="1">
        <f t="array" ref="M97">_xlfn.IFS(Employee[[#This Row],[Burnout_Score]]&lt;=30,"Low", AND(Employee[[#This Row],[Burnout_Score]]&gt;30,Employee[[#This Row],[Burnout_Score]]&lt;=60),"Medium", Employee[[#This Row],[Burnout_Score]]&gt;60,"High")</f>
        <v>Medium</v>
      </c>
      <c r="N97">
        <v>5</v>
      </c>
      <c r="O97">
        <v>2</v>
      </c>
      <c r="P97">
        <v>7.2</v>
      </c>
      <c r="Q97" t="s">
        <v>150</v>
      </c>
      <c r="R97" t="s">
        <v>150</v>
      </c>
      <c r="S97">
        <v>7.8</v>
      </c>
      <c r="T97" t="s">
        <v>27</v>
      </c>
      <c r="U97">
        <v>7.7</v>
      </c>
    </row>
    <row r="98" spans="1:21" x14ac:dyDescent="0.3">
      <c r="A98">
        <v>97</v>
      </c>
      <c r="B98" t="s">
        <v>145</v>
      </c>
      <c r="C98">
        <v>35</v>
      </c>
      <c r="D98" t="s">
        <v>51</v>
      </c>
      <c r="E98" t="s">
        <v>38</v>
      </c>
      <c r="F98" t="s">
        <v>64</v>
      </c>
      <c r="G98">
        <v>4</v>
      </c>
      <c r="H98" t="s">
        <v>32</v>
      </c>
      <c r="I98">
        <v>34.299999999999997</v>
      </c>
      <c r="J98">
        <v>3.8</v>
      </c>
      <c r="K98" t="s">
        <v>33</v>
      </c>
      <c r="L98">
        <v>78</v>
      </c>
      <c r="M98" t="str" cm="1">
        <f t="array" ref="M98">_xlfn.IFS(Employee[[#This Row],[Burnout_Score]]&lt;=30,"Low", AND(Employee[[#This Row],[Burnout_Score]]&gt;30,Employee[[#This Row],[Burnout_Score]]&lt;=60),"Medium", Employee[[#This Row],[Burnout_Score]]&gt;60,"High")</f>
        <v>High</v>
      </c>
      <c r="N98">
        <v>6.5</v>
      </c>
      <c r="O98">
        <v>3</v>
      </c>
      <c r="P98">
        <v>4.9000000000000004</v>
      </c>
      <c r="Q98" t="s">
        <v>149</v>
      </c>
      <c r="R98" t="s">
        <v>150</v>
      </c>
      <c r="S98">
        <v>8</v>
      </c>
      <c r="T98" t="s">
        <v>41</v>
      </c>
      <c r="U98">
        <v>3.3</v>
      </c>
    </row>
    <row r="99" spans="1:21" x14ac:dyDescent="0.3">
      <c r="A99">
        <v>98</v>
      </c>
      <c r="B99" t="s">
        <v>146</v>
      </c>
      <c r="C99">
        <v>44</v>
      </c>
      <c r="D99" t="s">
        <v>51</v>
      </c>
      <c r="E99" t="s">
        <v>30</v>
      </c>
      <c r="F99" t="s">
        <v>23</v>
      </c>
      <c r="G99">
        <v>3.3</v>
      </c>
      <c r="H99" t="s">
        <v>32</v>
      </c>
      <c r="I99">
        <v>48.4</v>
      </c>
      <c r="J99">
        <v>9.1999999999999993</v>
      </c>
      <c r="K99" t="s">
        <v>25</v>
      </c>
      <c r="L99">
        <v>29</v>
      </c>
      <c r="M99" t="str" cm="1">
        <f t="array" ref="M99">_xlfn.IFS(Employee[[#This Row],[Burnout_Score]]&lt;=30,"Low", AND(Employee[[#This Row],[Burnout_Score]]&gt;30,Employee[[#This Row],[Burnout_Score]]&lt;=60),"Medium", Employee[[#This Row],[Burnout_Score]]&gt;60,"High")</f>
        <v>Low</v>
      </c>
      <c r="N99">
        <v>7</v>
      </c>
      <c r="O99">
        <v>3</v>
      </c>
      <c r="P99">
        <v>6.5</v>
      </c>
      <c r="Q99" t="s">
        <v>150</v>
      </c>
      <c r="R99" t="s">
        <v>149</v>
      </c>
      <c r="S99">
        <v>3.6</v>
      </c>
      <c r="T99" t="s">
        <v>35</v>
      </c>
      <c r="U99">
        <v>3.3</v>
      </c>
    </row>
    <row r="100" spans="1:21" x14ac:dyDescent="0.3">
      <c r="A100">
        <v>99</v>
      </c>
      <c r="B100" t="s">
        <v>147</v>
      </c>
      <c r="C100">
        <v>49</v>
      </c>
      <c r="D100" t="s">
        <v>37</v>
      </c>
      <c r="E100" t="s">
        <v>57</v>
      </c>
      <c r="F100" t="s">
        <v>64</v>
      </c>
      <c r="G100">
        <v>7.5</v>
      </c>
      <c r="H100" t="s">
        <v>40</v>
      </c>
      <c r="I100">
        <v>43.7</v>
      </c>
      <c r="J100">
        <v>7.2</v>
      </c>
      <c r="K100" t="s">
        <v>25</v>
      </c>
      <c r="L100">
        <v>20</v>
      </c>
      <c r="M100" t="str" cm="1">
        <f t="array" ref="M100">_xlfn.IFS(Employee[[#This Row],[Burnout_Score]]&lt;=30,"Low", AND(Employee[[#This Row],[Burnout_Score]]&gt;30,Employee[[#This Row],[Burnout_Score]]&lt;=60),"Medium", Employee[[#This Row],[Burnout_Score]]&gt;60,"High")</f>
        <v>Low</v>
      </c>
      <c r="N100">
        <v>5.7</v>
      </c>
      <c r="O100">
        <v>2</v>
      </c>
      <c r="P100">
        <v>5.8</v>
      </c>
      <c r="Q100" t="s">
        <v>150</v>
      </c>
      <c r="R100" t="s">
        <v>150</v>
      </c>
      <c r="S100">
        <v>8.9</v>
      </c>
      <c r="T100" t="s">
        <v>35</v>
      </c>
      <c r="U100">
        <v>2.2999999999999998</v>
      </c>
    </row>
    <row r="101" spans="1:21" x14ac:dyDescent="0.3">
      <c r="A101">
        <v>100</v>
      </c>
      <c r="B101" t="s">
        <v>148</v>
      </c>
      <c r="C101">
        <v>46</v>
      </c>
      <c r="D101" t="s">
        <v>29</v>
      </c>
      <c r="E101" t="s">
        <v>57</v>
      </c>
      <c r="F101" t="s">
        <v>43</v>
      </c>
      <c r="G101">
        <v>2.7</v>
      </c>
      <c r="H101" t="s">
        <v>32</v>
      </c>
      <c r="I101">
        <v>38.299999999999997</v>
      </c>
      <c r="J101">
        <v>7.8</v>
      </c>
      <c r="K101" t="s">
        <v>44</v>
      </c>
      <c r="L101">
        <v>83</v>
      </c>
      <c r="M101" t="str" cm="1">
        <f t="array" ref="M101">_xlfn.IFS(Employee[[#This Row],[Burnout_Score]]&lt;=30,"Low", AND(Employee[[#This Row],[Burnout_Score]]&gt;30,Employee[[#This Row],[Burnout_Score]]&lt;=60),"Medium", Employee[[#This Row],[Burnout_Score]]&gt;60,"High")</f>
        <v>High</v>
      </c>
      <c r="N101">
        <v>6.8</v>
      </c>
      <c r="O101">
        <v>1</v>
      </c>
      <c r="P101">
        <v>9.1</v>
      </c>
      <c r="Q101" t="s">
        <v>149</v>
      </c>
      <c r="R101" t="s">
        <v>149</v>
      </c>
      <c r="S101">
        <v>7.7</v>
      </c>
      <c r="T101" t="s">
        <v>41</v>
      </c>
      <c r="U101">
        <v>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6FF9-A4A7-47EE-BCCF-11BA232EC3E8}">
  <dimension ref="A1:E9"/>
  <sheetViews>
    <sheetView workbookViewId="0">
      <selection activeCell="E12" sqref="E12"/>
    </sheetView>
  </sheetViews>
  <sheetFormatPr defaultRowHeight="14.4" x14ac:dyDescent="0.3"/>
  <cols>
    <col min="1" max="1" width="14" customWidth="1"/>
    <col min="2" max="2" width="10.21875" bestFit="1" customWidth="1"/>
    <col min="4" max="4" width="12.6640625" bestFit="1" customWidth="1"/>
  </cols>
  <sheetData>
    <row r="1" spans="1:5" x14ac:dyDescent="0.3">
      <c r="A1" t="s">
        <v>0</v>
      </c>
      <c r="B1" t="s">
        <v>153</v>
      </c>
      <c r="D1" t="s">
        <v>5</v>
      </c>
    </row>
    <row r="2" spans="1:5" x14ac:dyDescent="0.3">
      <c r="A2">
        <v>21</v>
      </c>
      <c r="B2" t="str">
        <f>_xlfn.XLOOKUP(A2,Employee[Employee_ID],Employee[Country],"NA",0)</f>
        <v>Germany</v>
      </c>
      <c r="D2" s="1" t="s">
        <v>23</v>
      </c>
    </row>
    <row r="3" spans="1:5" x14ac:dyDescent="0.3">
      <c r="A3">
        <v>23</v>
      </c>
      <c r="B3" t="str">
        <f>_xlfn.XLOOKUP(A3,Employee[Employee_ID],Employee[Country],"NA",0)</f>
        <v>Australia</v>
      </c>
    </row>
    <row r="4" spans="1:5" x14ac:dyDescent="0.3">
      <c r="A4">
        <v>25</v>
      </c>
      <c r="B4" t="str">
        <f>_xlfn.XLOOKUP(A4,Employee[Employee_ID],Employee[Country],"NA",0)</f>
        <v>USA</v>
      </c>
    </row>
    <row r="5" spans="1:5" x14ac:dyDescent="0.3">
      <c r="A5">
        <v>100</v>
      </c>
      <c r="B5" t="str">
        <f>_xlfn.XLOOKUP(A5,Employee[Employee_ID],Employee[Country],"NA",0)</f>
        <v>USA</v>
      </c>
    </row>
    <row r="6" spans="1:5" x14ac:dyDescent="0.3">
      <c r="A6">
        <v>51</v>
      </c>
      <c r="B6" t="str">
        <f>_xlfn.XLOOKUP(A6,Employee[Employee_ID],Employee[Country],"NA",0)</f>
        <v>USA</v>
      </c>
      <c r="D6" s="6" t="s">
        <v>41</v>
      </c>
      <c r="E6" s="6">
        <v>0</v>
      </c>
    </row>
    <row r="7" spans="1:5" x14ac:dyDescent="0.3">
      <c r="A7">
        <v>45</v>
      </c>
      <c r="B7" t="str">
        <f>_xlfn.XLOOKUP(A7,Employee[Employee_ID],Employee[Country],"NA",0)</f>
        <v>Germany</v>
      </c>
      <c r="D7" s="6" t="s">
        <v>26</v>
      </c>
      <c r="E7" s="6">
        <v>1</v>
      </c>
    </row>
    <row r="8" spans="1:5" x14ac:dyDescent="0.3">
      <c r="A8">
        <v>22</v>
      </c>
      <c r="B8" t="str">
        <f>_xlfn.XLOOKUP(A8,Employee[Employee_ID],Employee[Country],"NA",0)</f>
        <v>India</v>
      </c>
      <c r="D8" s="6" t="s">
        <v>160</v>
      </c>
      <c r="E8" s="6">
        <v>2</v>
      </c>
    </row>
    <row r="9" spans="1:5" x14ac:dyDescent="0.3">
      <c r="A9">
        <v>18</v>
      </c>
      <c r="B9" t="str">
        <f>_xlfn.XLOOKUP(A9,Employee[Employee_ID],Employee[Country],"NA",0)</f>
        <v>Brazil</v>
      </c>
      <c r="D9" s="6" t="s">
        <v>34</v>
      </c>
      <c r="E9" s="6">
        <v>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Hello" error="This job role doesnt exist" xr:uid="{76015823-DAAD-4228-9F7D-C741A7BA01A9}">
          <x14:formula1>
            <xm:f>mental_health_remote_workers!$F$1:$F$101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030F-F02C-4D9F-BCC1-353895B519DF}">
  <dimension ref="A2:I24"/>
  <sheetViews>
    <sheetView tabSelected="1" workbookViewId="0">
      <selection activeCell="G21" sqref="G21"/>
    </sheetView>
  </sheetViews>
  <sheetFormatPr defaultRowHeight="14.4" x14ac:dyDescent="0.3"/>
  <cols>
    <col min="1" max="1" width="25.6640625" bestFit="1" customWidth="1"/>
    <col min="2" max="2" width="16.88671875" bestFit="1" customWidth="1"/>
    <col min="3" max="3" width="23.44140625" bestFit="1" customWidth="1"/>
    <col min="5" max="7" width="10.77734375" bestFit="1" customWidth="1"/>
    <col min="8" max="8" width="21.109375" bestFit="1" customWidth="1"/>
    <col min="9" max="9" width="26.88671875" bestFit="1" customWidth="1"/>
  </cols>
  <sheetData>
    <row r="2" spans="1:9" x14ac:dyDescent="0.3">
      <c r="A2" s="2" t="s">
        <v>159</v>
      </c>
      <c r="B2" s="2" t="s">
        <v>161</v>
      </c>
      <c r="H2" s="2" t="s">
        <v>162</v>
      </c>
      <c r="I2" t="s">
        <v>165</v>
      </c>
    </row>
    <row r="3" spans="1:9" x14ac:dyDescent="0.3">
      <c r="A3" s="2" t="s">
        <v>151</v>
      </c>
      <c r="B3" t="s">
        <v>49</v>
      </c>
      <c r="C3" t="s">
        <v>34</v>
      </c>
      <c r="D3" t="s">
        <v>41</v>
      </c>
      <c r="E3" t="s">
        <v>26</v>
      </c>
      <c r="F3" t="s">
        <v>154</v>
      </c>
      <c r="H3" s="3" t="s">
        <v>40</v>
      </c>
      <c r="I3" s="4">
        <v>6.2696969696969695</v>
      </c>
    </row>
    <row r="4" spans="1:9" x14ac:dyDescent="0.3">
      <c r="A4" s="3" t="s">
        <v>158</v>
      </c>
      <c r="B4">
        <v>14</v>
      </c>
      <c r="C4">
        <v>10</v>
      </c>
      <c r="D4">
        <v>11</v>
      </c>
      <c r="E4">
        <v>10</v>
      </c>
      <c r="F4">
        <v>45</v>
      </c>
      <c r="H4" s="3" t="s">
        <v>24</v>
      </c>
      <c r="I4">
        <v>5.6999999999999993</v>
      </c>
    </row>
    <row r="5" spans="1:9" x14ac:dyDescent="0.3">
      <c r="A5" s="3" t="s">
        <v>156</v>
      </c>
      <c r="B5">
        <v>10</v>
      </c>
      <c r="C5">
        <v>6</v>
      </c>
      <c r="D5">
        <v>8</v>
      </c>
      <c r="E5">
        <v>9</v>
      </c>
      <c r="F5">
        <v>33</v>
      </c>
      <c r="H5" s="3" t="s">
        <v>32</v>
      </c>
      <c r="I5" s="4">
        <v>6.126829268292683</v>
      </c>
    </row>
    <row r="6" spans="1:9" x14ac:dyDescent="0.3">
      <c r="A6" s="3" t="s">
        <v>157</v>
      </c>
      <c r="B6">
        <v>4</v>
      </c>
      <c r="C6">
        <v>6</v>
      </c>
      <c r="D6">
        <v>7</v>
      </c>
      <c r="E6">
        <v>5</v>
      </c>
      <c r="F6">
        <v>22</v>
      </c>
      <c r="H6" s="3" t="s">
        <v>154</v>
      </c>
      <c r="I6">
        <v>6.0629999999999997</v>
      </c>
    </row>
    <row r="7" spans="1:9" x14ac:dyDescent="0.3">
      <c r="A7" s="3" t="s">
        <v>154</v>
      </c>
      <c r="B7">
        <v>28</v>
      </c>
      <c r="C7">
        <v>22</v>
      </c>
      <c r="D7">
        <v>26</v>
      </c>
      <c r="E7">
        <v>24</v>
      </c>
      <c r="F7">
        <v>100</v>
      </c>
    </row>
    <row r="10" spans="1:9" x14ac:dyDescent="0.3">
      <c r="A10" s="2" t="s">
        <v>155</v>
      </c>
      <c r="B10" s="2" t="s">
        <v>164</v>
      </c>
      <c r="G10" s="2" t="s">
        <v>4</v>
      </c>
      <c r="H10" t="s">
        <v>166</v>
      </c>
    </row>
    <row r="11" spans="1:9" x14ac:dyDescent="0.3">
      <c r="A11" s="2" t="s">
        <v>163</v>
      </c>
      <c r="B11" t="s">
        <v>156</v>
      </c>
      <c r="C11" t="s">
        <v>157</v>
      </c>
      <c r="D11" t="s">
        <v>158</v>
      </c>
      <c r="E11" t="s">
        <v>154</v>
      </c>
      <c r="G11" s="3" t="s">
        <v>30</v>
      </c>
      <c r="H11" s="4">
        <v>35.727272727272727</v>
      </c>
    </row>
    <row r="12" spans="1:9" x14ac:dyDescent="0.3">
      <c r="A12" s="3" t="s">
        <v>58</v>
      </c>
      <c r="B12">
        <v>4</v>
      </c>
      <c r="C12">
        <v>1</v>
      </c>
      <c r="D12">
        <v>5</v>
      </c>
      <c r="E12">
        <v>10</v>
      </c>
      <c r="G12" s="3" t="s">
        <v>48</v>
      </c>
      <c r="H12" s="4">
        <v>53.875</v>
      </c>
    </row>
    <row r="13" spans="1:9" x14ac:dyDescent="0.3">
      <c r="A13" s="3" t="s">
        <v>64</v>
      </c>
      <c r="B13">
        <v>9</v>
      </c>
      <c r="C13">
        <v>4</v>
      </c>
      <c r="D13">
        <v>8</v>
      </c>
      <c r="E13">
        <v>21</v>
      </c>
      <c r="G13" s="3" t="s">
        <v>22</v>
      </c>
      <c r="H13" s="4">
        <v>46.555555555555557</v>
      </c>
    </row>
    <row r="14" spans="1:9" x14ac:dyDescent="0.3">
      <c r="A14" s="3" t="s">
        <v>31</v>
      </c>
      <c r="B14">
        <v>5</v>
      </c>
      <c r="C14">
        <v>6</v>
      </c>
      <c r="D14">
        <v>11</v>
      </c>
      <c r="E14">
        <v>22</v>
      </c>
      <c r="G14" s="3" t="s">
        <v>38</v>
      </c>
      <c r="H14" s="4">
        <v>55.071428571428569</v>
      </c>
    </row>
    <row r="15" spans="1:9" x14ac:dyDescent="0.3">
      <c r="A15" s="3" t="s">
        <v>43</v>
      </c>
      <c r="B15">
        <v>3</v>
      </c>
      <c r="D15">
        <v>6</v>
      </c>
      <c r="E15">
        <v>9</v>
      </c>
      <c r="G15" s="3" t="s">
        <v>52</v>
      </c>
      <c r="H15" s="4">
        <v>63.909090909090907</v>
      </c>
    </row>
    <row r="16" spans="1:9" x14ac:dyDescent="0.3">
      <c r="A16" s="3" t="s">
        <v>23</v>
      </c>
      <c r="B16">
        <v>5</v>
      </c>
      <c r="C16">
        <v>8</v>
      </c>
      <c r="D16">
        <v>7</v>
      </c>
      <c r="E16">
        <v>20</v>
      </c>
      <c r="G16" s="3" t="s">
        <v>46</v>
      </c>
      <c r="H16" s="4">
        <v>40.222222222222221</v>
      </c>
    </row>
    <row r="17" spans="1:8" x14ac:dyDescent="0.3">
      <c r="A17" s="3" t="s">
        <v>39</v>
      </c>
      <c r="B17">
        <v>7</v>
      </c>
      <c r="C17">
        <v>3</v>
      </c>
      <c r="D17">
        <v>8</v>
      </c>
      <c r="E17">
        <v>18</v>
      </c>
      <c r="G17" s="3" t="s">
        <v>57</v>
      </c>
      <c r="H17" s="4">
        <v>51.571428571428569</v>
      </c>
    </row>
    <row r="18" spans="1:8" x14ac:dyDescent="0.3">
      <c r="A18" s="3" t="s">
        <v>154</v>
      </c>
      <c r="B18">
        <v>33</v>
      </c>
      <c r="C18">
        <v>22</v>
      </c>
      <c r="D18">
        <v>45</v>
      </c>
      <c r="E18">
        <v>100</v>
      </c>
      <c r="G18" s="3" t="s">
        <v>154</v>
      </c>
      <c r="H18" s="5">
        <v>49.55</v>
      </c>
    </row>
    <row r="21" spans="1:8" x14ac:dyDescent="0.3">
      <c r="B21" s="2" t="s">
        <v>167</v>
      </c>
      <c r="C21" t="s">
        <v>166</v>
      </c>
    </row>
    <row r="22" spans="1:8" x14ac:dyDescent="0.3">
      <c r="B22" s="3" t="s">
        <v>150</v>
      </c>
      <c r="C22" s="5">
        <v>47.5</v>
      </c>
    </row>
    <row r="23" spans="1:8" x14ac:dyDescent="0.3">
      <c r="B23" s="3" t="s">
        <v>149</v>
      </c>
      <c r="C23" s="5">
        <v>51.442307692307693</v>
      </c>
    </row>
    <row r="24" spans="1:8" x14ac:dyDescent="0.3">
      <c r="B24" s="3" t="s">
        <v>154</v>
      </c>
      <c r="C24" s="5">
        <v>49.55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mental_health_remote_workers</vt:lpstr>
      <vt:lpstr>xlookup and dropdown list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ruptaheen0102@gmail.com</cp:lastModifiedBy>
  <dcterms:created xsi:type="dcterms:W3CDTF">2026-04-30T13:03:26Z</dcterms:created>
  <dcterms:modified xsi:type="dcterms:W3CDTF">2026-05-07T18:09:19Z</dcterms:modified>
</cp:coreProperties>
</file>